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b300aa0d1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Huong_dan" sheetId="1" r:id="R415fd2744dc849e1"/>
    <x:sheet xmlns:r="http://schemas.openxmlformats.org/officeDocument/2006/relationships" name="02_Bang_gia" sheetId="2" r:id="Red192b9f65574b94"/>
    <x:sheet xmlns:r="http://schemas.openxmlformats.org/officeDocument/2006/relationships" name="03_Van_don_500" sheetId="3" r:id="R96c08053f2c64da2"/>
    <x:sheet xmlns:r="http://schemas.openxmlformats.org/officeDocument/2006/relationships" name="04_KPI" sheetId="4" r:id="Rabebebcb95ea4212"/>
    <x:sheet xmlns:r="http://schemas.openxmlformats.org/officeDocument/2006/relationships" name="05_Kiem_thu" sheetId="5" r:id="R312296c418ae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₫&quot;"/>
    <x:numFmt numFmtId="201" formatCode="dd/mm/yyyy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5F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DE8E8"/>
        </x:patternFill>
      </x:fill>
    </x:dxf>
    <x:dxf>
      <x:fill>
        <x:patternFill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eac418b4341db" /><Relationship Type="http://schemas.openxmlformats.org/officeDocument/2006/relationships/theme" Target="/xl/theme/theme1.xml" Id="R8cbcc9ae12804c52" /><Relationship Type="http://schemas.openxmlformats.org/officeDocument/2006/relationships/sharedStrings" Target="/xl/sharedStrings.xml" Id="Rd923099207e747ec" /><Relationship Type="http://schemas.openxmlformats.org/officeDocument/2006/relationships/worksheet" Target="/xl/worksheets/sheet1.xml" Id="R415fd2744dc849e1" /><Relationship Type="http://schemas.openxmlformats.org/officeDocument/2006/relationships/worksheet" Target="/xl/worksheets/sheet2.xml" Id="Red192b9f65574b94" /><Relationship Type="http://schemas.openxmlformats.org/officeDocument/2006/relationships/worksheet" Target="/xl/worksheets/sheet3.xml" Id="R96c08053f2c64da2" /><Relationship Type="http://schemas.openxmlformats.org/officeDocument/2006/relationships/worksheet" Target="/xl/worksheets/sheet4.xml" Id="Rabebebcb95ea4212" /><Relationship Type="http://schemas.openxmlformats.org/officeDocument/2006/relationships/worksheet" Target="/xl/worksheets/sheet5.xml" Id="R312296c418ae4a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96b1ec29fd46f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Số đơn</c:v>
          </c:tx>
          <c:cat>
            <c:strRef>
              <c:f>'04_KPI'!$A$5:$A$7</c:f>
              <c:strCache>
                <c:ptCount val="0"/>
              </c:strCache>
            </c:strRef>
          </c:cat>
          <c:val>
            <c:numRef>
              <c:f>'04_KPI'!$B$5:$B$7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96b1ec29fd46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079b4b3d4e647ee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0" hidden="0" customWidth="1"/>
  </x:cols>
  <x:sheetData>
    <x:row r="1" ht="29" customHeight="1">
      <x:c r="A1" s="4" t="str">
        <x:v>FASTMOVE | BÀI 3</x:v>
      </x:c>
      <x:c r="B1" s="4" t="str">
        <x:v>CHUẨN HÓA GIAO VẬN VÀ TRA CỨU GIÁ CƯỚC</x:v>
      </x:c>
    </x:row>
    <x:row r="3" ht="38" customHeight="1">
      <x:c r="A3" s="12" t="str">
        <x:v>PHẦN 1 - PHÂN TÍCH</x:v>
      </x:c>
      <x:c r="B3" s="12" t="str">
        <x:v>VLOOKUP và mô hình nhân viên kho tra hồ sơ</x:v>
      </x:c>
    </x:row>
    <x:row r="4" ht="38" customHeight="1">
      <x:c r="A4" s="8" t="str">
        <x:v>Tham số 1 | lookup_value</x:v>
      </x:c>
      <x:c r="B4" s="8" t="str">
        <x:v>Mã vận đơn / mã dịch vụ cần nhân viên kho tìm; trong file sử dụng mã giá ở E2.</x:v>
      </x:c>
    </x:row>
    <x:row r="5" ht="38" customHeight="1">
      <x:c r="A5" s="8" t="str">
        <x:v>Tham số 2 | table_array</x:v>
      </x:c>
      <x:c r="B5" s="8" t="str">
        <x:v>Tủ hồ sơ bảng giá: '02_Bang_gia'!$A$2:$D$13; dấu $ cố định vùng khi kéo 500 dòng.</x:v>
      </x:c>
    </x:row>
    <x:row r="6" ht="38" customHeight="1">
      <x:c r="A6" s="8" t="str">
        <x:v>Tham số 3 | col_index_num</x:v>
      </x:c>
      <x:c r="B6" s="8" t="str">
        <x:v>Ngăn hồ sơ thứ 4 (cột Đơn giá) tính từ cột đầu của vùng tra cứu.</x:v>
      </x:c>
    </x:row>
    <x:row r="7" ht="38" customHeight="1">
      <x:c r="A7" s="8" t="str">
        <x:v>Tham số 4 | range_lookup</x:v>
      </x:c>
      <x:c r="B7" s="8" t="str">
        <x:v>FALSE (0): chỉ nhận kết quả khớp chính xác, tránh báo sai tiền.</x:v>
      </x:c>
    </x:row>
    <x:row r="8" ht="38" customHeight="1">
      <x:c r="A8" s="12" t="str">
        <x:v>PHẦN 2 - TRIỂN KHAI</x:v>
      </x:c>
      <x:c r="B8" s="12" t="str">
        <x:v>Luồng nghiệp vụ FastMove</x:v>
      </x:c>
    </x:row>
    <x:row r="9" ht="38" customHeight="1">
      <x:c r="A9" s="8" t="str">
        <x:v>Bước 1</x:v>
      </x:c>
      <x:c r="B9" s="8" t="str">
        <x:v>Nhập mã vận đơn, khu vực, loại dịch vụ, khối lượng, mã giá và trạng thái.</x:v>
      </x:c>
    </x:row>
    <x:row r="10" ht="38" customHeight="1">
      <x:c r="A10" s="8" t="str">
        <x:v>Bước 2</x:v>
      </x:c>
      <x:c r="B10" s="8" t="str">
        <x:v>Sheet bảng giá quản lý mã giá độc nhất và đơn giá VND.</x:v>
      </x:c>
    </x:row>
    <x:row r="11" ht="38" customHeight="1">
      <x:c r="A11" s="8" t="str">
        <x:v>Bước 3</x:v>
      </x:c>
      <x:c r="B11" s="8" t="str">
        <x:v>VLOOKUP tra đơn giá; IFERROR trả 'KHÔNG TÌM THẤY' nếu mã không hợp lệ.</x:v>
      </x:c>
    </x:row>
    <x:row r="12" ht="38" customHeight="1">
      <x:c r="A12" s="8" t="str">
        <x:v>Bước 4</x:v>
      </x:c>
      <x:c r="B12" s="8" t="str">
        <x:v>Tính thành tiền bằng đơn giá × khối lượng; KPI tổng hợp bằng COUNTIF/SUMIF.</x:v>
      </x:c>
    </x:row>
    <x:row r="13" ht="38" customHeight="1">
      <x:c r="A13" s="12" t="str">
        <x:v>PHẦN 3 - KIỂM THỬ</x:v>
      </x:c>
      <x:c r="B13" s="12" t="str">
        <x:v>Xem sheet 05_Kiem_thu với các mã có ký tự lạ, mã trống và mã hợp lệ.</x:v>
      </x:c>
    </x:row>
    <x:row r="14" ht="38" customHeight="1">
      <x:c r="A14" s="8" t="str">
        <x:v>LƯU Ý DỮ LIỆU</x:v>
      </x:c>
      <x:c r="B14" s="8" t="str">
        <x:v>Một hàng = một vận đơn; một cột = một trường; không gộp ô; tiêu đề duy nhất; dữ liệu đồng nhất.</x:v>
      </x:c>
    </x:row>
    <x:row r="15" ht="38" customHeight="1">
      <x:c r="A15" s="8" t="str">
        <x:v>HƯỚNG DẪN WORD</x:v>
      </x:c>
      <x:c r="B15" s="8" t="str">
        <x:v>Dùng Title / Heading 1 / Heading 2, màu xanh navy FastMove; quy trình: Nhận → Kiểm → Phân loại → Bàn giao → Đối soát.</x:v>
      </x:c>
    </x:row>
    <x:row r="16" ht="38" customHeight="1">
      <x:c r="A16" s="8" t="str">
        <x:v>SLIDE SHIPPER</x:v>
      </x:c>
      <x:c r="B16" s="8" t="str">
        <x:v>Tiêu đề kết luận: 'Quét mã trước khi nhận giúp giảm sai đơn'; chỉ 3-4 bullet mỗi slide.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9" customHeight="1">
      <x:c r="A1" s="4" t="str">
        <x:v>Mã giá</x:v>
      </x:c>
      <x:c r="B1" s="4" t="str">
        <x:v>Khu vực</x:v>
      </x:c>
      <x:c r="C1" s="4" t="str">
        <x:v>Dịch vụ</x:v>
      </x:c>
      <x:c r="D1" s="4" t="str">
        <x:v>Đơn giá (VND/kg)</x:v>
      </x:c>
    </x:row>
    <x:row r="2">
      <x:c r="A2" t="str">
        <x:v>FM-01-01</x:v>
      </x:c>
      <x:c r="B2" t="str">
        <x:v>Nội thành</x:v>
      </x:c>
      <x:c r="C2" t="str">
        <x:v>Tiết kiệm</x:v>
      </x:c>
      <x:c r="D2" s="14" t="n">
        <x:v>12000</x:v>
      </x:c>
    </x:row>
    <x:row r="3">
      <x:c r="A3" t="str">
        <x:v>FM-01-02</x:v>
      </x:c>
      <x:c r="B3" t="str">
        <x:v>Nội thành</x:v>
      </x:c>
      <x:c r="C3" t="str">
        <x:v>Tiêu chuẩn</x:v>
      </x:c>
      <x:c r="D3" s="14" t="n">
        <x:v>18000</x:v>
      </x:c>
    </x:row>
    <x:row r="4">
      <x:c r="A4" t="str">
        <x:v>FM-01-03</x:v>
      </x:c>
      <x:c r="B4" t="str">
        <x:v>Nội thành</x:v>
      </x:c>
      <x:c r="C4" t="str">
        <x:v>Hỏa tốc</x:v>
      </x:c>
      <x:c r="D4" s="14" t="n">
        <x:v>30000</x:v>
      </x:c>
    </x:row>
    <x:row r="5">
      <x:c r="A5" t="str">
        <x:v>FM-01-04</x:v>
      </x:c>
      <x:c r="B5" t="str">
        <x:v>Nội thành</x:v>
      </x:c>
      <x:c r="C5" t="str">
        <x:v>COD</x:v>
      </x:c>
      <x:c r="D5" s="14" t="n">
        <x:v>22000</x:v>
      </x:c>
    </x:row>
    <x:row r="6">
      <x:c r="A6" t="str">
        <x:v>FM-02-01</x:v>
      </x:c>
      <x:c r="B6" t="str">
        <x:v>Ngoại thành</x:v>
      </x:c>
      <x:c r="C6" t="str">
        <x:v>Tiết kiệm</x:v>
      </x:c>
      <x:c r="D6" s="14" t="n">
        <x:v>18500</x:v>
      </x:c>
    </x:row>
    <x:row r="7">
      <x:c r="A7" t="str">
        <x:v>FM-02-02</x:v>
      </x:c>
      <x:c r="B7" t="str">
        <x:v>Ngoại thành</x:v>
      </x:c>
      <x:c r="C7" t="str">
        <x:v>Tiêu chuẩn</x:v>
      </x:c>
      <x:c r="D7" s="14" t="n">
        <x:v>24500</x:v>
      </x:c>
    </x:row>
    <x:row r="8">
      <x:c r="A8" t="str">
        <x:v>FM-02-03</x:v>
      </x:c>
      <x:c r="B8" t="str">
        <x:v>Ngoại thành</x:v>
      </x:c>
      <x:c r="C8" t="str">
        <x:v>Hỏa tốc</x:v>
      </x:c>
      <x:c r="D8" s="14" t="n">
        <x:v>36500</x:v>
      </x:c>
    </x:row>
    <x:row r="9">
      <x:c r="A9" t="str">
        <x:v>FM-02-04</x:v>
      </x:c>
      <x:c r="B9" t="str">
        <x:v>Ngoại thành</x:v>
      </x:c>
      <x:c r="C9" t="str">
        <x:v>COD</x:v>
      </x:c>
      <x:c r="D9" s="14" t="n">
        <x:v>28500</x:v>
      </x:c>
    </x:row>
    <x:row r="10">
      <x:c r="A10" t="str">
        <x:v>FM-03-01</x:v>
      </x:c>
      <x:c r="B10" t="str">
        <x:v>Liên tỉnh</x:v>
      </x:c>
      <x:c r="C10" t="str">
        <x:v>Tiết kiệm</x:v>
      </x:c>
      <x:c r="D10" s="14" t="n">
        <x:v>25000</x:v>
      </x:c>
    </x:row>
    <x:row r="11">
      <x:c r="A11" t="str">
        <x:v>FM-03-02</x:v>
      </x:c>
      <x:c r="B11" t="str">
        <x:v>Liên tỉnh</x:v>
      </x:c>
      <x:c r="C11" t="str">
        <x:v>Tiêu chuẩn</x:v>
      </x:c>
      <x:c r="D11" s="14" t="n">
        <x:v>31000</x:v>
      </x:c>
    </x:row>
    <x:row r="12">
      <x:c r="A12" t="str">
        <x:v>FM-03-03</x:v>
      </x:c>
      <x:c r="B12" t="str">
        <x:v>Liên tỉnh</x:v>
      </x:c>
      <x:c r="C12" t="str">
        <x:v>Hỏa tốc</x:v>
      </x:c>
      <x:c r="D12" s="14" t="n">
        <x:v>43000</x:v>
      </x:c>
    </x:row>
    <x:row r="13">
      <x:c r="A13" t="str">
        <x:v>FM-03-04</x:v>
      </x:c>
      <x:c r="B13" t="str">
        <x:v>Liên tỉnh</x:v>
      </x:c>
      <x:c r="C13" t="str">
        <x:v>COD</x:v>
      </x:c>
      <x:c r="D13" s="14" t="n">
        <x:v>35000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8" hidden="0" customWidth="1"/>
    <x:col min="4" max="4" width="18" hidden="0" customWidth="1"/>
    <x:col min="5" max="5" width="15" hidden="0" customWidth="1"/>
    <x:col min="6" max="6" width="19" hidden="0" customWidth="1"/>
    <x:col min="7" max="7" width="24" hidden="0" customWidth="1"/>
    <x:col min="8" max="8" width="25" hidden="0" customWidth="1"/>
    <x:col min="9" max="9" width="19" hidden="0" customWidth="1"/>
    <x:col min="10" max="10" width="17" hidden="0" customWidth="1"/>
    <x:col min="11" max="11" width="30" hidden="0" customWidth="1"/>
  </x:cols>
  <x:sheetData>
    <x:row r="1" ht="29" customHeight="1">
      <x:c r="A1" s="4" t="str">
        <x:v>Mã vận đơn</x:v>
      </x:c>
      <x:c r="B1" s="4" t="str">
        <x:v>Ngày tạo</x:v>
      </x:c>
      <x:c r="C1" s="4" t="str">
        <x:v>Khu vực</x:v>
      </x:c>
      <x:c r="D1" s="4" t="str">
        <x:v>Dịch vụ</x:v>
      </x:c>
      <x:c r="E1" s="4" t="str">
        <x:v>Mã giá</x:v>
      </x:c>
      <x:c r="F1" s="4" t="str">
        <x:v>Khối lượng (kg)</x:v>
      </x:c>
      <x:c r="G1" s="4" t="str">
        <x:v>Đơn giá (VND/kg)</x:v>
      </x:c>
      <x:c r="H1" s="4" t="str">
        <x:v>Thành tiền (VND)</x:v>
      </x:c>
      <x:c r="I1" s="4" t="str">
        <x:v>Trạng thái</x:v>
      </x:c>
      <x:c r="J1" s="4" t="str">
        <x:v>Ngày giao</x:v>
      </x:c>
      <x:c r="K1" s="4" t="str">
        <x:v>Ghi chú</x:v>
      </x:c>
    </x:row>
    <x:row r="2">
      <x:c r="A2" t="str">
        <x:v>FM20260700001</x:v>
      </x:c>
      <x:c r="B2" s="16" t="n">
        <x:v>46204</x:v>
      </x:c>
      <x:c r="C2" t="str">
        <x:v>FM-03-03</x:v>
      </x:c>
      <x:c r="D2" t="str">
        <x:v>Liên tỉnh</x:v>
      </x:c>
      <x:c r="E2" t="str">
        <x:v>Hỏa tốc</x:v>
      </x:c>
      <x:c r="F2" t="n">
        <x:v>1</x:v>
      </x:c>
      <x:c r="G2" s="14" t="str">
        <x:f>IF(E2="","",IFERROR(VLOOKUP(E2,'02_Bang_gia'!$A$2:$D$13,4,FALSE),"KHÔNG TÌM THẤY"))</x:f>
        <x:v>KHÔNG TÌM THẤY</x:v>
      </x:c>
      <x:c r="H2" s="14" t="str">
        <x:f>IF(ISNUMBER(G2),G2*F2,"")</x:f>
      </x:c>
      <x:c r="I2" t="str">
        <x:v>Đã giao</x:v>
      </x:c>
      <x:c r="J2" s="16" t="n">
        <x:v>46207</x:v>
      </x:c>
      <x:c r="K2" t="str"/>
    </x:row>
    <x:row r="3">
      <x:c r="A3" t="str">
        <x:v>FM20260700002</x:v>
      </x:c>
      <x:c r="B3" s="16" t="n">
        <x:v>46205</x:v>
      </x:c>
      <x:c r="C3" t="str">
        <x:v>FM-01-04</x:v>
      </x:c>
      <x:c r="D3" t="str">
        <x:v>Nội thành</x:v>
      </x:c>
      <x:c r="E3" t="str">
        <x:v>COD</x:v>
      </x:c>
      <x:c r="F3" t="n">
        <x:v>5</x:v>
      </x:c>
      <x:c r="G3" s="14" t="str">
        <x:f>IF(E3="","",IFERROR(VLOOKUP(E3,'02_Bang_gia'!$A$2:$D$13,4,FALSE),"KHÔNG TÌM THẤY"))</x:f>
        <x:v>KHÔNG TÌM THẤY</x:v>
      </x:c>
      <x:c r="H3" s="14" t="str">
        <x:f>IF(ISNUMBER(G3),G3*F3,"")</x:f>
      </x:c>
      <x:c r="I3" t="str">
        <x:v>Đã giao</x:v>
      </x:c>
      <x:c r="J3" s="16" t="n">
        <x:v>46206</x:v>
      </x:c>
      <x:c r="K3" t="str"/>
    </x:row>
    <x:row r="4">
      <x:c r="A4" t="str">
        <x:v>FM20260700003</x:v>
      </x:c>
      <x:c r="B4" s="16" t="n">
        <x:v>46206</x:v>
      </x:c>
      <x:c r="C4" t="str">
        <x:v>FM-03-04</x:v>
      </x:c>
      <x:c r="D4" t="str">
        <x:v>Liên tỉnh</x:v>
      </x:c>
      <x:c r="E4" t="str">
        <x:v>COD</x:v>
      </x:c>
      <x:c r="F4" t="n">
        <x:v>0.5</x:v>
      </x:c>
      <x:c r="G4" s="14" t="str">
        <x:f>IF(E4="","",IFERROR(VLOOKUP(E4,'02_Bang_gia'!$A$2:$D$13,4,FALSE),"KHÔNG TÌM THẤY"))</x:f>
        <x:v>KHÔNG TÌM THẤY</x:v>
      </x:c>
      <x:c r="H4" s="14" t="str">
        <x:f>IF(ISNUMBER(G4),G4*F4,"")</x:f>
      </x:c>
      <x:c r="I4" t="str">
        <x:v>Đang giao</x:v>
      </x:c>
      <x:c r="J4" s="16"/>
      <x:c r="K4" t="str"/>
    </x:row>
    <x:row r="5">
      <x:c r="A5" t="str">
        <x:v>FM20260700004</x:v>
      </x:c>
      <x:c r="B5" s="16" t="n">
        <x:v>46207</x:v>
      </x:c>
      <x:c r="C5" t="str">
        <x:v>FM-03-02</x:v>
      </x:c>
      <x:c r="D5" t="str">
        <x:v>Liên tỉnh</x:v>
      </x:c>
      <x:c r="E5" t="str">
        <x:v>Tiêu chuẩn</x:v>
      </x:c>
      <x:c r="F5" t="n">
        <x:v>0.5</x:v>
      </x:c>
      <x:c r="G5" s="14" t="str">
        <x:f>IF(E5="","",IFERROR(VLOOKUP(E5,'02_Bang_gia'!$A$2:$D$13,4,FALSE),"KHÔNG TÌM THẤY"))</x:f>
        <x:v>KHÔNG TÌM THẤY</x:v>
      </x:c>
      <x:c r="H5" s="14" t="str">
        <x:f>IF(ISNUMBER(G5),G5*F5,"")</x:f>
      </x:c>
      <x:c r="I5" t="str">
        <x:v>Đã giao</x:v>
      </x:c>
      <x:c r="J5" s="16" t="n">
        <x:v>46208</x:v>
      </x:c>
      <x:c r="K5" t="str"/>
    </x:row>
    <x:row r="6">
      <x:c r="A6" t="str">
        <x:v>FM20260700005</x:v>
      </x:c>
      <x:c r="B6" s="16" t="n">
        <x:v>46208</x:v>
      </x:c>
      <x:c r="C6" t="str">
        <x:v>FM-01-04</x:v>
      </x:c>
      <x:c r="D6" t="str">
        <x:v>Nội thành</x:v>
      </x:c>
      <x:c r="E6" t="str">
        <x:v>COD</x:v>
      </x:c>
      <x:c r="F6" t="n">
        <x:v>3</x:v>
      </x:c>
      <x:c r="G6" s="14" t="str">
        <x:f>IF(E6="","",IFERROR(VLOOKUP(E6,'02_Bang_gia'!$A$2:$D$13,4,FALSE),"KHÔNG TÌM THẤY"))</x:f>
        <x:v>KHÔNG TÌM THẤY</x:v>
      </x:c>
      <x:c r="H6" s="14" t="str">
        <x:f>IF(ISNUMBER(G6),G6*F6,"")</x:f>
      </x:c>
      <x:c r="I6" t="str">
        <x:v>Đã giao</x:v>
      </x:c>
      <x:c r="J6" s="16" t="n">
        <x:v>46209</x:v>
      </x:c>
      <x:c r="K6" t="str"/>
    </x:row>
    <x:row r="7">
      <x:c r="A7" t="str">
        <x:v>FM20260700006</x:v>
      </x:c>
      <x:c r="B7" s="16" t="n">
        <x:v>46209</x:v>
      </x:c>
      <x:c r="C7" t="str">
        <x:v>FM-01-04</x:v>
      </x:c>
      <x:c r="D7" t="str">
        <x:v>Nội thành</x:v>
      </x:c>
      <x:c r="E7" t="str">
        <x:v>COD</x:v>
      </x:c>
      <x:c r="F7" t="n">
        <x:v>1</x:v>
      </x:c>
      <x:c r="G7" s="14" t="str">
        <x:f>IF(E7="","",IFERROR(VLOOKUP(E7,'02_Bang_gia'!$A$2:$D$13,4,FALSE),"KHÔNG TÌM THẤY"))</x:f>
        <x:v>KHÔNG TÌM THẤY</x:v>
      </x:c>
      <x:c r="H7" s="14" t="str">
        <x:f>IF(ISNUMBER(G7),G7*F7,"")</x:f>
      </x:c>
      <x:c r="I7" t="str">
        <x:v>Đã giao</x:v>
      </x:c>
      <x:c r="J7" s="16" t="n">
        <x:v>46213</x:v>
      </x:c>
      <x:c r="K7" t="str"/>
    </x:row>
    <x:row r="8">
      <x:c r="A8" t="str">
        <x:v>FM20260700007</x:v>
      </x:c>
      <x:c r="B8" s="16" t="n">
        <x:v>46210</x:v>
      </x:c>
      <x:c r="C8" t="str">
        <x:v>FM-02-04</x:v>
      </x:c>
      <x:c r="D8" t="str">
        <x:v>Ngoại thành</x:v>
      </x:c>
      <x:c r="E8" t="str">
        <x:v>COD</x:v>
      </x:c>
      <x:c r="F8" t="n">
        <x:v>1</x:v>
      </x:c>
      <x:c r="G8" s="14" t="str">
        <x:f>IF(E8="","",IFERROR(VLOOKUP(E8,'02_Bang_gia'!$A$2:$D$13,4,FALSE),"KHÔNG TÌM THẤY"))</x:f>
        <x:v>KHÔNG TÌM THẤY</x:v>
      </x:c>
      <x:c r="H8" s="14" t="str">
        <x:f>IF(ISNUMBER(G8),G8*F8,"")</x:f>
      </x:c>
      <x:c r="I8" t="str">
        <x:v>Đã giao</x:v>
      </x:c>
      <x:c r="J8" s="16" t="n">
        <x:v>46211</x:v>
      </x:c>
      <x:c r="K8" t="str"/>
    </x:row>
    <x:row r="9">
      <x:c r="A9" t="str">
        <x:v>FM20260700008</x:v>
      </x:c>
      <x:c r="B9" s="16" t="n">
        <x:v>46211</x:v>
      </x:c>
      <x:c r="C9" t="str">
        <x:v>FM-03-04</x:v>
      </x:c>
      <x:c r="D9" t="str">
        <x:v>Liên tỉnh</x:v>
      </x:c>
      <x:c r="E9" t="str">
        <x:v>COD</x:v>
      </x:c>
      <x:c r="F9" t="n">
        <x:v>1</x:v>
      </x:c>
      <x:c r="G9" s="14" t="str">
        <x:f>IF(E9="","",IFERROR(VLOOKUP(E9,'02_Bang_gia'!$A$2:$D$13,4,FALSE),"KHÔNG TÌM THẤY"))</x:f>
        <x:v>KHÔNG TÌM THẤY</x:v>
      </x:c>
      <x:c r="H9" s="14" t="str">
        <x:f>IF(ISNUMBER(G9),G9*F9,"")</x:f>
      </x:c>
      <x:c r="I9" t="str">
        <x:v>Đã giao</x:v>
      </x:c>
      <x:c r="J9" s="16" t="n">
        <x:v>46214</x:v>
      </x:c>
      <x:c r="K9" t="str"/>
    </x:row>
    <x:row r="10">
      <x:c r="A10" t="str">
        <x:v>FM20260700009</x:v>
      </x:c>
      <x:c r="B10" s="16" t="n">
        <x:v>46212</x:v>
      </x:c>
      <x:c r="C10" t="str">
        <x:v>FM-01-04</x:v>
      </x:c>
      <x:c r="D10" t="str">
        <x:v>Nội thành</x:v>
      </x:c>
      <x:c r="E10" t="str">
        <x:v>COD</x:v>
      </x:c>
      <x:c r="F10" t="n">
        <x:v>1.5</x:v>
      </x:c>
      <x:c r="G10" s="14" t="str">
        <x:f>IF(E10="","",IFERROR(VLOOKUP(E10,'02_Bang_gia'!$A$2:$D$13,4,FALSE),"KHÔNG TÌM THẤY"))</x:f>
        <x:v>KHÔNG TÌM THẤY</x:v>
      </x:c>
      <x:c r="H10" s="14" t="str">
        <x:f>IF(ISNUMBER(G10),G10*F10,"")</x:f>
      </x:c>
      <x:c r="I10" t="str">
        <x:v>Giao thất bại</x:v>
      </x:c>
      <x:c r="J10" s="16"/>
      <x:c r="K10" t="str"/>
    </x:row>
    <x:row r="11">
      <x:c r="A11" t="str">
        <x:v>FM20260700010</x:v>
      </x:c>
      <x:c r="B11" s="16" t="n">
        <x:v>46213</x:v>
      </x:c>
      <x:c r="C11" t="str">
        <x:v>FM-01-02</x:v>
      </x:c>
      <x:c r="D11" t="str">
        <x:v>Nội thành</x:v>
      </x:c>
      <x:c r="E11" t="str">
        <x:v>Tiêu chuẩn</x:v>
      </x:c>
      <x:c r="F11" t="n">
        <x:v>1.5</x:v>
      </x:c>
      <x:c r="G11" s="14" t="str">
        <x:f>IF(E11="","",IFERROR(VLOOKUP(E11,'02_Bang_gia'!$A$2:$D$13,4,FALSE),"KHÔNG TÌM THẤY"))</x:f>
        <x:v>KHÔNG TÌM THẤY</x:v>
      </x:c>
      <x:c r="H11" s="14" t="str">
        <x:f>IF(ISNUMBER(G11),G11*F11,"")</x:f>
      </x:c>
      <x:c r="I11" t="str">
        <x:v>Đã giao</x:v>
      </x:c>
      <x:c r="J11" s="16" t="n">
        <x:v>46214</x:v>
      </x:c>
      <x:c r="K11" t="str"/>
    </x:row>
    <x:row r="12">
      <x:c r="A12" t="str">
        <x:v>FM20260700011</x:v>
      </x:c>
      <x:c r="B12" s="16" t="n">
        <x:v>46214</x:v>
      </x:c>
      <x:c r="C12" t="str">
        <x:v>FM-02-02</x:v>
      </x:c>
      <x:c r="D12" t="str">
        <x:v>Ngoại thành</x:v>
      </x:c>
      <x:c r="E12" t="str">
        <x:v>Tiêu chuẩn</x:v>
      </x:c>
      <x:c r="F12" t="n">
        <x:v>5</x:v>
      </x:c>
      <x:c r="G12" s="14" t="str">
        <x:f>IF(E12="","",IFERROR(VLOOKUP(E12,'02_Bang_gia'!$A$2:$D$13,4,FALSE),"KHÔNG TÌM THẤY"))</x:f>
        <x:v>KHÔNG TÌM THẤY</x:v>
      </x:c>
      <x:c r="H12" s="14" t="str">
        <x:f>IF(ISNUMBER(G12),G12*F12,"")</x:f>
      </x:c>
      <x:c r="I12" t="str">
        <x:v>Đã giao</x:v>
      </x:c>
      <x:c r="J12" s="16" t="n">
        <x:v>46215</x:v>
      </x:c>
      <x:c r="K12" t="str"/>
    </x:row>
    <x:row r="13">
      <x:c r="A13" t="str">
        <x:v>FM20260700012</x:v>
      </x:c>
      <x:c r="B13" s="16" t="n">
        <x:v>46215</x:v>
      </x:c>
      <x:c r="C13" t="str">
        <x:v>FM-02-04</x:v>
      </x:c>
      <x:c r="D13" t="str">
        <x:v>Ngoại thành</x:v>
      </x:c>
      <x:c r="E13" t="str">
        <x:v>COD</x:v>
      </x:c>
      <x:c r="F13" t="n">
        <x:v>0.5</x:v>
      </x:c>
      <x:c r="G13" s="14" t="str">
        <x:f>IF(E13="","",IFERROR(VLOOKUP(E13,'02_Bang_gia'!$A$2:$D$13,4,FALSE),"KHÔNG TÌM THẤY"))</x:f>
        <x:v>KHÔNG TÌM THẤY</x:v>
      </x:c>
      <x:c r="H13" s="14" t="str">
        <x:f>IF(ISNUMBER(G13),G13*F13,"")</x:f>
      </x:c>
      <x:c r="I13" t="str">
        <x:v>Đã giao</x:v>
      </x:c>
      <x:c r="J13" s="16" t="n">
        <x:v>46219</x:v>
      </x:c>
      <x:c r="K13" t="str"/>
    </x:row>
    <x:row r="14">
      <x:c r="A14" t="str">
        <x:v>FM20260700013</x:v>
      </x:c>
      <x:c r="B14" s="16" t="n">
        <x:v>46216</x:v>
      </x:c>
      <x:c r="C14" t="str">
        <x:v>FM-03-01</x:v>
      </x:c>
      <x:c r="D14" t="str">
        <x:v>Liên tỉnh</x:v>
      </x:c>
      <x:c r="E14" t="str">
        <x:v>Tiết kiệm</x:v>
      </x:c>
      <x:c r="F14" t="n">
        <x:v>3</x:v>
      </x:c>
      <x:c r="G14" s="14" t="str">
        <x:f>IF(E14="","",IFERROR(VLOOKUP(E14,'02_Bang_gia'!$A$2:$D$13,4,FALSE),"KHÔNG TÌM THẤY"))</x:f>
        <x:v>KHÔNG TÌM THẤY</x:v>
      </x:c>
      <x:c r="H14" s="14" t="str">
        <x:f>IF(ISNUMBER(G14),G14*F14,"")</x:f>
      </x:c>
      <x:c r="I14" t="str">
        <x:v>Đã giao</x:v>
      </x:c>
      <x:c r="J14" s="16" t="n">
        <x:v>46219</x:v>
      </x:c>
      <x:c r="K14" t="str"/>
    </x:row>
    <x:row r="15">
      <x:c r="A15" t="str">
        <x:v>FM20260700014</x:v>
      </x:c>
      <x:c r="B15" s="16" t="n">
        <x:v>46217</x:v>
      </x:c>
      <x:c r="C15" t="str">
        <x:v>FM-01-04</x:v>
      </x:c>
      <x:c r="D15" t="str">
        <x:v>Nội thành</x:v>
      </x:c>
      <x:c r="E15" t="str">
        <x:v>COD</x:v>
      </x:c>
      <x:c r="F15" t="n">
        <x:v>5</x:v>
      </x:c>
      <x:c r="G15" s="14" t="str">
        <x:f>IF(E15="","",IFERROR(VLOOKUP(E15,'02_Bang_gia'!$A$2:$D$13,4,FALSE),"KHÔNG TÌM THẤY"))</x:f>
        <x:v>KHÔNG TÌM THẤY</x:v>
      </x:c>
      <x:c r="H15" s="14" t="str">
        <x:f>IF(ISNUMBER(G15),G15*F15,"")</x:f>
      </x:c>
      <x:c r="I15" t="str">
        <x:v>Đã giao</x:v>
      </x:c>
      <x:c r="J15" s="16" t="n">
        <x:v>46218</x:v>
      </x:c>
      <x:c r="K15" t="str"/>
    </x:row>
    <x:row r="16">
      <x:c r="A16" t="str">
        <x:v>FM20260700015</x:v>
      </x:c>
      <x:c r="B16" s="16" t="n">
        <x:v>46218</x:v>
      </x:c>
      <x:c r="C16" t="str">
        <x:v>FM-01-04</x:v>
      </x:c>
      <x:c r="D16" t="str">
        <x:v>Nội thành</x:v>
      </x:c>
      <x:c r="E16" t="str">
        <x:v>COD</x:v>
      </x:c>
      <x:c r="F16" t="n">
        <x:v>1</x:v>
      </x:c>
      <x:c r="G16" s="14" t="str">
        <x:f>IF(E16="","",IFERROR(VLOOKUP(E16,'02_Bang_gia'!$A$2:$D$13,4,FALSE),"KHÔNG TÌM THẤY"))</x:f>
        <x:v>KHÔNG TÌM THẤY</x:v>
      </x:c>
      <x:c r="H16" s="14" t="str">
        <x:f>IF(ISNUMBER(G16),G16*F16,"")</x:f>
      </x:c>
      <x:c r="I16" t="str">
        <x:v>Đã giao</x:v>
      </x:c>
      <x:c r="J16" s="16" t="n">
        <x:v>46219</x:v>
      </x:c>
      <x:c r="K16" t="str"/>
    </x:row>
    <x:row r="17">
      <x:c r="A17" t="str">
        <x:v>FM20260700016</x:v>
      </x:c>
      <x:c r="B17" s="16" t="n">
        <x:v>46219</x:v>
      </x:c>
      <x:c r="C17" t="str">
        <x:v>FM-01-02</x:v>
      </x:c>
      <x:c r="D17" t="str">
        <x:v>Nội thành</x:v>
      </x:c>
      <x:c r="E17" t="str">
        <x:v>Tiêu chuẩn</x:v>
      </x:c>
      <x:c r="F17" t="n">
        <x:v>5</x:v>
      </x:c>
      <x:c r="G17" s="14" t="str">
        <x:f>IF(E17="","",IFERROR(VLOOKUP(E17,'02_Bang_gia'!$A$2:$D$13,4,FALSE),"KHÔNG TÌM THẤY"))</x:f>
        <x:v>KHÔNG TÌM THẤY</x:v>
      </x:c>
      <x:c r="H17" s="14" t="str">
        <x:f>IF(ISNUMBER(G17),G17*F17,"")</x:f>
      </x:c>
      <x:c r="I17" t="str">
        <x:v>Đã giao</x:v>
      </x:c>
      <x:c r="J17" s="16" t="n">
        <x:v>46223</x:v>
      </x:c>
      <x:c r="K17" t="str"/>
    </x:row>
    <x:row r="18">
      <x:c r="A18" t="str">
        <x:v>FM20260700017</x:v>
      </x:c>
      <x:c r="B18" s="16" t="n">
        <x:v>46220</x:v>
      </x:c>
      <x:c r="C18" t="str">
        <x:v>FM-02-02</x:v>
      </x:c>
      <x:c r="D18" t="str">
        <x:v>Ngoại thành</x:v>
      </x:c>
      <x:c r="E18" t="str">
        <x:v>Tiêu chuẩn</x:v>
      </x:c>
      <x:c r="F18" t="n">
        <x:v>1</x:v>
      </x:c>
      <x:c r="G18" s="14" t="str">
        <x:f>IF(E18="","",IFERROR(VLOOKUP(E18,'02_Bang_gia'!$A$2:$D$13,4,FALSE),"KHÔNG TÌM THẤY"))</x:f>
        <x:v>KHÔNG TÌM THẤY</x:v>
      </x:c>
      <x:c r="H18" s="14" t="str">
        <x:f>IF(ISNUMBER(G18),G18*F18,"")</x:f>
      </x:c>
      <x:c r="I18" t="str">
        <x:v>Đã giao</x:v>
      </x:c>
      <x:c r="J18" s="16" t="n">
        <x:v>46223</x:v>
      </x:c>
      <x:c r="K18" t="str"/>
    </x:row>
    <x:row r="19">
      <x:c r="A19" t="str">
        <x:v>FM20260700018</x:v>
      </x:c>
      <x:c r="B19" s="16" t="n">
        <x:v>46221</x:v>
      </x:c>
      <x:c r="C19" t="str">
        <x:v>FM-03-03</x:v>
      </x:c>
      <x:c r="D19" t="str">
        <x:v>Liên tỉnh</x:v>
      </x:c>
      <x:c r="E19" t="str">
        <x:v>Hỏa tốc</x:v>
      </x:c>
      <x:c r="F19" t="n">
        <x:v>3</x:v>
      </x:c>
      <x:c r="G19" s="14" t="str">
        <x:f>IF(E19="","",IFERROR(VLOOKUP(E19,'02_Bang_gia'!$A$2:$D$13,4,FALSE),"KHÔNG TÌM THẤY"))</x:f>
        <x:v>KHÔNG TÌM THẤY</x:v>
      </x:c>
      <x:c r="H19" s="14" t="str">
        <x:f>IF(ISNUMBER(G19),G19*F19,"")</x:f>
      </x:c>
      <x:c r="I19" t="str">
        <x:v>Đã giao</x:v>
      </x:c>
      <x:c r="J19" s="16" t="n">
        <x:v>46222</x:v>
      </x:c>
      <x:c r="K19" t="str"/>
    </x:row>
    <x:row r="20">
      <x:c r="A20" t="str">
        <x:v>FM20260700019</x:v>
      </x:c>
      <x:c r="B20" s="16" t="n">
        <x:v>46222</x:v>
      </x:c>
      <x:c r="C20" t="str">
        <x:v>FM-03-03</x:v>
      </x:c>
      <x:c r="D20" t="str">
        <x:v>Liên tỉnh</x:v>
      </x:c>
      <x:c r="E20" t="str">
        <x:v>Hỏa tốc</x:v>
      </x:c>
      <x:c r="F20" t="n">
        <x:v>1</x:v>
      </x:c>
      <x:c r="G20" s="14" t="str">
        <x:f>IF(E20="","",IFERROR(VLOOKUP(E20,'02_Bang_gia'!$A$2:$D$13,4,FALSE),"KHÔNG TÌM THẤY"))</x:f>
        <x:v>KHÔNG TÌM THẤY</x:v>
      </x:c>
      <x:c r="H20" s="14" t="str">
        <x:f>IF(ISNUMBER(G20),G20*F20,"")</x:f>
      </x:c>
      <x:c r="I20" t="str">
        <x:v>Đã giao</x:v>
      </x:c>
      <x:c r="J20" s="16" t="n">
        <x:v>46224</x:v>
      </x:c>
      <x:c r="K20" t="str"/>
    </x:row>
    <x:row r="21">
      <x:c r="A21" t="str">
        <x:v>FM20260700020</x:v>
      </x:c>
      <x:c r="B21" s="16" t="n">
        <x:v>46223</x:v>
      </x:c>
      <x:c r="C21" t="str">
        <x:v>FM-02-04</x:v>
      </x:c>
      <x:c r="D21" t="str">
        <x:v>Ngoại thành</x:v>
      </x:c>
      <x:c r="E21" t="str">
        <x:v>COD</x:v>
      </x:c>
      <x:c r="F21" t="n">
        <x:v>5</x:v>
      </x:c>
      <x:c r="G21" s="14" t="str">
        <x:f>IF(E21="","",IFERROR(VLOOKUP(E21,'02_Bang_gia'!$A$2:$D$13,4,FALSE),"KHÔNG TÌM THẤY"))</x:f>
        <x:v>KHÔNG TÌM THẤY</x:v>
      </x:c>
      <x:c r="H21" s="14" t="str">
        <x:f>IF(ISNUMBER(G21),G21*F21,"")</x:f>
      </x:c>
      <x:c r="I21" t="str">
        <x:v>Đã giao</x:v>
      </x:c>
      <x:c r="J21" s="16" t="n">
        <x:v>46225</x:v>
      </x:c>
      <x:c r="K21" t="str"/>
    </x:row>
    <x:row r="22">
      <x:c r="A22" t="str">
        <x:v>FM20260700021</x:v>
      </x:c>
      <x:c r="B22" s="16" t="n">
        <x:v>46224</x:v>
      </x:c>
      <x:c r="C22" t="str">
        <x:v>FM-02-02</x:v>
      </x:c>
      <x:c r="D22" t="str">
        <x:v>Ngoại thành</x:v>
      </x:c>
      <x:c r="E22" t="str">
        <x:v>Tiêu chuẩn</x:v>
      </x:c>
      <x:c r="F22" t="n">
        <x:v>0.5</x:v>
      </x:c>
      <x:c r="G22" s="14" t="str">
        <x:f>IF(E22="","",IFERROR(VLOOKUP(E22,'02_Bang_gia'!$A$2:$D$13,4,FALSE),"KHÔNG TÌM THẤY"))</x:f>
        <x:v>KHÔNG TÌM THẤY</x:v>
      </x:c>
      <x:c r="H22" s="14" t="str">
        <x:f>IF(ISNUMBER(G22),G22*F22,"")</x:f>
      </x:c>
      <x:c r="I22" t="str">
        <x:v>Đang giao</x:v>
      </x:c>
      <x:c r="J22" s="16"/>
      <x:c r="K22" t="str"/>
    </x:row>
    <x:row r="23">
      <x:c r="A23" t="str">
        <x:v>FM20260700022</x:v>
      </x:c>
      <x:c r="B23" s="16" t="n">
        <x:v>46225</x:v>
      </x:c>
      <x:c r="C23" t="str">
        <x:v>FM-01-04</x:v>
      </x:c>
      <x:c r="D23" t="str">
        <x:v>Nội thành</x:v>
      </x:c>
      <x:c r="E23" t="str">
        <x:v>COD</x:v>
      </x:c>
      <x:c r="F23" t="n">
        <x:v>1.5</x:v>
      </x:c>
      <x:c r="G23" s="14" t="str">
        <x:f>IF(E23="","",IFERROR(VLOOKUP(E23,'02_Bang_gia'!$A$2:$D$13,4,FALSE),"KHÔNG TÌM THẤY"))</x:f>
        <x:v>KHÔNG TÌM THẤY</x:v>
      </x:c>
      <x:c r="H23" s="14" t="str">
        <x:f>IF(ISNUMBER(G23),G23*F23,"")</x:f>
      </x:c>
      <x:c r="I23" t="str">
        <x:v>Đang giao</x:v>
      </x:c>
      <x:c r="J23" s="16"/>
      <x:c r="K23" t="str"/>
    </x:row>
    <x:row r="24">
      <x:c r="A24" t="str">
        <x:v>FM20260700023</x:v>
      </x:c>
      <x:c r="B24" s="16" t="n">
        <x:v>46226</x:v>
      </x:c>
      <x:c r="C24" t="str">
        <x:v>FM-02-03</x:v>
      </x:c>
      <x:c r="D24" t="str">
        <x:v>Ngoại thành</x:v>
      </x:c>
      <x:c r="E24" t="str">
        <x:v>Hỏa tốc</x:v>
      </x:c>
      <x:c r="F24" t="n">
        <x:v>3</x:v>
      </x:c>
      <x:c r="G24" s="14" t="str">
        <x:f>IF(E24="","",IFERROR(VLOOKUP(E24,'02_Bang_gia'!$A$2:$D$13,4,FALSE),"KHÔNG TÌM THẤY"))</x:f>
        <x:v>KHÔNG TÌM THẤY</x:v>
      </x:c>
      <x:c r="H24" s="14" t="str">
        <x:f>IF(ISNUMBER(G24),G24*F24,"")</x:f>
      </x:c>
      <x:c r="I24" t="str">
        <x:v>Đã giao</x:v>
      </x:c>
      <x:c r="J24" s="16" t="n">
        <x:v>46228</x:v>
      </x:c>
      <x:c r="K24" t="str"/>
    </x:row>
    <x:row r="25">
      <x:c r="A25" t="str">
        <x:v>FM20260700024</x:v>
      </x:c>
      <x:c r="B25" s="16" t="n">
        <x:v>46227</x:v>
      </x:c>
      <x:c r="C25" t="str">
        <x:v>FM-03-04</x:v>
      </x:c>
      <x:c r="D25" t="str">
        <x:v>Liên tỉnh</x:v>
      </x:c>
      <x:c r="E25" t="str">
        <x:v>COD</x:v>
      </x:c>
      <x:c r="F25" t="n">
        <x:v>2</x:v>
      </x:c>
      <x:c r="G25" s="14" t="str">
        <x:f>IF(E25="","",IFERROR(VLOOKUP(E25,'02_Bang_gia'!$A$2:$D$13,4,FALSE),"KHÔNG TÌM THẤY"))</x:f>
        <x:v>KHÔNG TÌM THẤY</x:v>
      </x:c>
      <x:c r="H25" s="14" t="str">
        <x:f>IF(ISNUMBER(G25),G25*F25,"")</x:f>
      </x:c>
      <x:c r="I25" t="str">
        <x:v>Đã giao</x:v>
      </x:c>
      <x:c r="J25" s="16" t="n">
        <x:v>46231</x:v>
      </x:c>
      <x:c r="K25" t="str"/>
    </x:row>
    <x:row r="26">
      <x:c r="A26" t="str">
        <x:v>FM20260700025</x:v>
      </x:c>
      <x:c r="B26" s="16" t="n">
        <x:v>46228</x:v>
      </x:c>
      <x:c r="C26" t="str">
        <x:v>FM-03-03</x:v>
      </x:c>
      <x:c r="D26" t="str">
        <x:v>Liên tỉnh</x:v>
      </x:c>
      <x:c r="E26" t="str">
        <x:v>Hỏa tốc</x:v>
      </x:c>
      <x:c r="F26" t="n">
        <x:v>1</x:v>
      </x:c>
      <x:c r="G26" s="14" t="str">
        <x:f>IF(E26="","",IFERROR(VLOOKUP(E26,'02_Bang_gia'!$A$2:$D$13,4,FALSE),"KHÔNG TÌM THẤY"))</x:f>
        <x:v>KHÔNG TÌM THẤY</x:v>
      </x:c>
      <x:c r="H26" s="14" t="str">
        <x:f>IF(ISNUMBER(G26),G26*F26,"")</x:f>
      </x:c>
      <x:c r="I26" t="str">
        <x:v>Đã giao</x:v>
      </x:c>
      <x:c r="J26" s="16" t="n">
        <x:v>46231</x:v>
      </x:c>
      <x:c r="K26" t="str"/>
    </x:row>
    <x:row r="27">
      <x:c r="A27" t="str">
        <x:v>FM20260700026</x:v>
      </x:c>
      <x:c r="B27" s="16" t="n">
        <x:v>46229</x:v>
      </x:c>
      <x:c r="C27" t="str">
        <x:v>FM-01-04</x:v>
      </x:c>
      <x:c r="D27" t="str">
        <x:v>Nội thành</x:v>
      </x:c>
      <x:c r="E27" t="str">
        <x:v>COD</x:v>
      </x:c>
      <x:c r="F27" t="n">
        <x:v>5</x:v>
      </x:c>
      <x:c r="G27" s="14" t="str">
        <x:f>IF(E27="","",IFERROR(VLOOKUP(E27,'02_Bang_gia'!$A$2:$D$13,4,FALSE),"KHÔNG TÌM THẤY"))</x:f>
        <x:v>KHÔNG TÌM THẤY</x:v>
      </x:c>
      <x:c r="H27" s="14" t="str">
        <x:f>IF(ISNUMBER(G27),G27*F27,"")</x:f>
      </x:c>
      <x:c r="I27" t="str">
        <x:v>Đã giao</x:v>
      </x:c>
      <x:c r="J27" s="16" t="n">
        <x:v>46232</x:v>
      </x:c>
      <x:c r="K27" t="str"/>
    </x:row>
    <x:row r="28">
      <x:c r="A28" t="str">
        <x:v>FM20260700027</x:v>
      </x:c>
      <x:c r="B28" s="16" t="n">
        <x:v>46230</x:v>
      </x:c>
      <x:c r="C28" t="str">
        <x:v>FM-03-02</x:v>
      </x:c>
      <x:c r="D28" t="str">
        <x:v>Liên tỉnh</x:v>
      </x:c>
      <x:c r="E28" t="str">
        <x:v>Tiêu chuẩn</x:v>
      </x:c>
      <x:c r="F28" t="n">
        <x:v>1.5</x:v>
      </x:c>
      <x:c r="G28" s="14" t="str">
        <x:f>IF(E28="","",IFERROR(VLOOKUP(E28,'02_Bang_gia'!$A$2:$D$13,4,FALSE),"KHÔNG TÌM THẤY"))</x:f>
        <x:v>KHÔNG TÌM THẤY</x:v>
      </x:c>
      <x:c r="H28" s="14" t="str">
        <x:f>IF(ISNUMBER(G28),G28*F28,"")</x:f>
      </x:c>
      <x:c r="I28" t="str">
        <x:v>Đã giao</x:v>
      </x:c>
      <x:c r="J28" s="16" t="n">
        <x:v>46234</x:v>
      </x:c>
      <x:c r="K28" t="str"/>
    </x:row>
    <x:row r="29">
      <x:c r="A29" t="str">
        <x:v>FM20260700028</x:v>
      </x:c>
      <x:c r="B29" s="16" t="n">
        <x:v>46231</x:v>
      </x:c>
      <x:c r="C29" t="str">
        <x:v>FM-01-04</x:v>
      </x:c>
      <x:c r="D29" t="str">
        <x:v>Nội thành</x:v>
      </x:c>
      <x:c r="E29" t="str">
        <x:v>COD</x:v>
      </x:c>
      <x:c r="F29" t="n">
        <x:v>1</x:v>
      </x:c>
      <x:c r="G29" s="14" t="str">
        <x:f>IF(E29="","",IFERROR(VLOOKUP(E29,'02_Bang_gia'!$A$2:$D$13,4,FALSE),"KHÔNG TÌM THẤY"))</x:f>
        <x:v>KHÔNG TÌM THẤY</x:v>
      </x:c>
      <x:c r="H29" s="14" t="str">
        <x:f>IF(ISNUMBER(G29),G29*F29,"")</x:f>
      </x:c>
      <x:c r="I29" t="str">
        <x:v>Giao thất bại</x:v>
      </x:c>
      <x:c r="J29" s="16"/>
      <x:c r="K29" t="str"/>
    </x:row>
    <x:row r="30">
      <x:c r="A30" t="str">
        <x:v>FM20260700029</x:v>
      </x:c>
      <x:c r="B30" s="16" t="n">
        <x:v>46232</x:v>
      </x:c>
      <x:c r="C30" t="str">
        <x:v>FM-03-01</x:v>
      </x:c>
      <x:c r="D30" t="str">
        <x:v>Liên tỉnh</x:v>
      </x:c>
      <x:c r="E30" t="str">
        <x:v>Tiết kiệm</x:v>
      </x:c>
      <x:c r="F30" t="n">
        <x:v>0.5</x:v>
      </x:c>
      <x:c r="G30" s="14" t="str">
        <x:f>IF(E30="","",IFERROR(VLOOKUP(E30,'02_Bang_gia'!$A$2:$D$13,4,FALSE),"KHÔNG TÌM THẤY"))</x:f>
        <x:v>KHÔNG TÌM THẤY</x:v>
      </x:c>
      <x:c r="H30" s="14" t="str">
        <x:f>IF(ISNUMBER(G30),G30*F30,"")</x:f>
      </x:c>
      <x:c r="I30" t="str">
        <x:v>Đã giao</x:v>
      </x:c>
      <x:c r="J30" s="16" t="n">
        <x:v>46233</x:v>
      </x:c>
      <x:c r="K30" t="str"/>
    </x:row>
    <x:row r="31">
      <x:c r="A31" t="str">
        <x:v>FM20260700030</x:v>
      </x:c>
      <x:c r="B31" s="16" t="n">
        <x:v>46233</x:v>
      </x:c>
      <x:c r="C31" t="str">
        <x:v>FM-01-03</x:v>
      </x:c>
      <x:c r="D31" t="str">
        <x:v>Nội thành</x:v>
      </x:c>
      <x:c r="E31" t="str">
        <x:v>Hỏa tốc</x:v>
      </x:c>
      <x:c r="F31" t="n">
        <x:v>3</x:v>
      </x:c>
      <x:c r="G31" s="14" t="str">
        <x:f>IF(E31="","",IFERROR(VLOOKUP(E31,'02_Bang_gia'!$A$2:$D$13,4,FALSE),"KHÔNG TÌM THẤY"))</x:f>
        <x:v>KHÔNG TÌM THẤY</x:v>
      </x:c>
      <x:c r="H31" s="14" t="str">
        <x:f>IF(ISNUMBER(G31),G31*F31,"")</x:f>
      </x:c>
      <x:c r="I31" t="str">
        <x:v>Đã giao</x:v>
      </x:c>
      <x:c r="J31" s="16" t="n">
        <x:v>46237</x:v>
      </x:c>
      <x:c r="K31" t="str"/>
    </x:row>
    <x:row r="32">
      <x:c r="A32" t="str">
        <x:v>FM20260700031</x:v>
      </x:c>
      <x:c r="B32" s="16" t="n">
        <x:v>46234</x:v>
      </x:c>
      <x:c r="C32" t="str">
        <x:v>FM-01-02</x:v>
      </x:c>
      <x:c r="D32" t="str">
        <x:v>Nội thành</x:v>
      </x:c>
      <x:c r="E32" t="str">
        <x:v>Tiêu chuẩn</x:v>
      </x:c>
      <x:c r="F32" t="n">
        <x:v>3</x:v>
      </x:c>
      <x:c r="G32" s="14" t="str">
        <x:f>IF(E32="","",IFERROR(VLOOKUP(E32,'02_Bang_gia'!$A$2:$D$13,4,FALSE),"KHÔNG TÌM THẤY"))</x:f>
        <x:v>KHÔNG TÌM THẤY</x:v>
      </x:c>
      <x:c r="H32" s="14" t="str">
        <x:f>IF(ISNUMBER(G32),G32*F32,"")</x:f>
      </x:c>
      <x:c r="I32" t="str">
        <x:v>Đã giao</x:v>
      </x:c>
      <x:c r="J32" s="16" t="n">
        <x:v>46238</x:v>
      </x:c>
      <x:c r="K32" t="str"/>
    </x:row>
    <x:row r="33">
      <x:c r="A33" t="str">
        <x:v>FM20260700032</x:v>
      </x:c>
      <x:c r="B33" s="16" t="n">
        <x:v>46204</x:v>
      </x:c>
      <x:c r="C33" t="str">
        <x:v>FM-02-01</x:v>
      </x:c>
      <x:c r="D33" t="str">
        <x:v>Ngoại thành</x:v>
      </x:c>
      <x:c r="E33" t="str">
        <x:v>Tiết kiệm</x:v>
      </x:c>
      <x:c r="F33" t="n">
        <x:v>0.5</x:v>
      </x:c>
      <x:c r="G33" s="14" t="str">
        <x:f>IF(E33="","",IFERROR(VLOOKUP(E33,'02_Bang_gia'!$A$2:$D$13,4,FALSE),"KHÔNG TÌM THẤY"))</x:f>
        <x:v>KHÔNG TÌM THẤY</x:v>
      </x:c>
      <x:c r="H33" s="14" t="str">
        <x:f>IF(ISNUMBER(G33),G33*F33,"")</x:f>
      </x:c>
      <x:c r="I33" t="str">
        <x:v>Giao thất bại</x:v>
      </x:c>
      <x:c r="J33" s="16"/>
      <x:c r="K33" t="str"/>
    </x:row>
    <x:row r="34">
      <x:c r="A34" t="str">
        <x:v>FM20260700033</x:v>
      </x:c>
      <x:c r="B34" s="16" t="n">
        <x:v>46205</x:v>
      </x:c>
      <x:c r="C34" t="str">
        <x:v>FM-03-03</x:v>
      </x:c>
      <x:c r="D34" t="str">
        <x:v>Liên tỉnh</x:v>
      </x:c>
      <x:c r="E34" t="str">
        <x:v>Hỏa tốc</x:v>
      </x:c>
      <x:c r="F34" t="n">
        <x:v>5</x:v>
      </x:c>
      <x:c r="G34" s="14" t="str">
        <x:f>IF(E34="","",IFERROR(VLOOKUP(E34,'02_Bang_gia'!$A$2:$D$13,4,FALSE),"KHÔNG TÌM THẤY"))</x:f>
        <x:v>KHÔNG TÌM THẤY</x:v>
      </x:c>
      <x:c r="H34" s="14" t="str">
        <x:f>IF(ISNUMBER(G34),G34*F34,"")</x:f>
      </x:c>
      <x:c r="I34" t="str">
        <x:v>Đã giao</x:v>
      </x:c>
      <x:c r="J34" s="16" t="n">
        <x:v>46208</x:v>
      </x:c>
      <x:c r="K34" t="str"/>
    </x:row>
    <x:row r="35">
      <x:c r="A35" t="str">
        <x:v>FM20260700034</x:v>
      </x:c>
      <x:c r="B35" s="16" t="n">
        <x:v>46206</x:v>
      </x:c>
      <x:c r="C35" t="str">
        <x:v>FM-02-02</x:v>
      </x:c>
      <x:c r="D35" t="str">
        <x:v>Ngoại thành</x:v>
      </x:c>
      <x:c r="E35" t="str">
        <x:v>Tiêu chuẩn</x:v>
      </x:c>
      <x:c r="F35" t="n">
        <x:v>1</x:v>
      </x:c>
      <x:c r="G35" s="14" t="str">
        <x:f>IF(E35="","",IFERROR(VLOOKUP(E35,'02_Bang_gia'!$A$2:$D$13,4,FALSE),"KHÔNG TÌM THẤY"))</x:f>
        <x:v>KHÔNG TÌM THẤY</x:v>
      </x:c>
      <x:c r="H35" s="14" t="str">
        <x:f>IF(ISNUMBER(G35),G35*F35,"")</x:f>
      </x:c>
      <x:c r="I35" t="str">
        <x:v>Đã giao</x:v>
      </x:c>
      <x:c r="J35" s="16" t="n">
        <x:v>46210</x:v>
      </x:c>
      <x:c r="K35" t="str"/>
    </x:row>
    <x:row r="36">
      <x:c r="A36" t="str">
        <x:v>FM20260700035</x:v>
      </x:c>
      <x:c r="B36" s="16" t="n">
        <x:v>46207</x:v>
      </x:c>
      <x:c r="C36" t="str">
        <x:v>FM-02-04</x:v>
      </x:c>
      <x:c r="D36" t="str">
        <x:v>Ngoại thành</x:v>
      </x:c>
      <x:c r="E36" t="str">
        <x:v>COD</x:v>
      </x:c>
      <x:c r="F36" t="n">
        <x:v>3</x:v>
      </x:c>
      <x:c r="G36" s="14" t="str">
        <x:f>IF(E36="","",IFERROR(VLOOKUP(E36,'02_Bang_gia'!$A$2:$D$13,4,FALSE),"KHÔNG TÌM THẤY"))</x:f>
        <x:v>KHÔNG TÌM THẤY</x:v>
      </x:c>
      <x:c r="H36" s="14" t="str">
        <x:f>IF(ISNUMBER(G36),G36*F36,"")</x:f>
      </x:c>
      <x:c r="I36" t="str">
        <x:v>Đã giao</x:v>
      </x:c>
      <x:c r="J36" s="16" t="n">
        <x:v>46210</x:v>
      </x:c>
      <x:c r="K36" t="str"/>
    </x:row>
    <x:row r="37">
      <x:c r="A37" t="str">
        <x:v>FM20260700036</x:v>
      </x:c>
      <x:c r="B37" s="16" t="n">
        <x:v>46208</x:v>
      </x:c>
      <x:c r="C37" t="str">
        <x:v>FM-01-03</x:v>
      </x:c>
      <x:c r="D37" t="str">
        <x:v>Nội thành</x:v>
      </x:c>
      <x:c r="E37" t="str">
        <x:v>Hỏa tốc</x:v>
      </x:c>
      <x:c r="F37" t="n">
        <x:v>5</x:v>
      </x:c>
      <x:c r="G37" s="14" t="str">
        <x:f>IF(E37="","",IFERROR(VLOOKUP(E37,'02_Bang_gia'!$A$2:$D$13,4,FALSE),"KHÔNG TÌM THẤY"))</x:f>
        <x:v>KHÔNG TÌM THẤY</x:v>
      </x:c>
      <x:c r="H37" s="14" t="str">
        <x:f>IF(ISNUMBER(G37),G37*F37,"")</x:f>
      </x:c>
      <x:c r="I37" t="str">
        <x:v>Đã giao</x:v>
      </x:c>
      <x:c r="J37" s="16" t="n">
        <x:v>46209</x:v>
      </x:c>
      <x:c r="K37" t="str"/>
    </x:row>
    <x:row r="38">
      <x:c r="A38" t="str">
        <x:v>FM20260700037</x:v>
      </x:c>
      <x:c r="B38" s="16" t="n">
        <x:v>46209</x:v>
      </x:c>
      <x:c r="C38" t="str">
        <x:v>FM-02-01</x:v>
      </x:c>
      <x:c r="D38" t="str">
        <x:v>Ngoại thành</x:v>
      </x:c>
      <x:c r="E38" t="str">
        <x:v>Tiết kiệm</x:v>
      </x:c>
      <x:c r="F38" t="n">
        <x:v>3</x:v>
      </x:c>
      <x:c r="G38" s="14" t="str">
        <x:f>IF(E38="","",IFERROR(VLOOKUP(E38,'02_Bang_gia'!$A$2:$D$13,4,FALSE),"KHÔNG TÌM THẤY"))</x:f>
        <x:v>KHÔNG TÌM THẤY</x:v>
      </x:c>
      <x:c r="H38" s="14" t="str">
        <x:f>IF(ISNUMBER(G38),G38*F38,"")</x:f>
      </x:c>
      <x:c r="I38" t="str">
        <x:v>Đang giao</x:v>
      </x:c>
      <x:c r="J38" s="16"/>
      <x:c r="K38" t="str"/>
    </x:row>
    <x:row r="39">
      <x:c r="A39" t="str">
        <x:v>FM20260700038</x:v>
      </x:c>
      <x:c r="B39" s="16" t="n">
        <x:v>46210</x:v>
      </x:c>
      <x:c r="C39" t="str">
        <x:v>FM-03-02</x:v>
      </x:c>
      <x:c r="D39" t="str">
        <x:v>Liên tỉnh</x:v>
      </x:c>
      <x:c r="E39" t="str">
        <x:v>Tiêu chuẩn</x:v>
      </x:c>
      <x:c r="F39" t="n">
        <x:v>1</x:v>
      </x:c>
      <x:c r="G39" s="14" t="str">
        <x:f>IF(E39="","",IFERROR(VLOOKUP(E39,'02_Bang_gia'!$A$2:$D$13,4,FALSE),"KHÔNG TÌM THẤY"))</x:f>
        <x:v>KHÔNG TÌM THẤY</x:v>
      </x:c>
      <x:c r="H39" s="14" t="str">
        <x:f>IF(ISNUMBER(G39),G39*F39,"")</x:f>
      </x:c>
      <x:c r="I39" t="str">
        <x:v>Đã giao</x:v>
      </x:c>
      <x:c r="J39" s="16" t="n">
        <x:v>46213</x:v>
      </x:c>
      <x:c r="K39" t="str"/>
    </x:row>
    <x:row r="40">
      <x:c r="A40" t="str">
        <x:v>FM20260700039</x:v>
      </x:c>
      <x:c r="B40" s="16" t="n">
        <x:v>46211</x:v>
      </x:c>
      <x:c r="C40" t="str">
        <x:v>FM-03-01</x:v>
      </x:c>
      <x:c r="D40" t="str">
        <x:v>Liên tỉnh</x:v>
      </x:c>
      <x:c r="E40" t="str">
        <x:v>Tiết kiệm</x:v>
      </x:c>
      <x:c r="F40" t="n">
        <x:v>3</x:v>
      </x:c>
      <x:c r="G40" s="14" t="str">
        <x:f>IF(E40="","",IFERROR(VLOOKUP(E40,'02_Bang_gia'!$A$2:$D$13,4,FALSE),"KHÔNG TÌM THẤY"))</x:f>
        <x:v>KHÔNG TÌM THẤY</x:v>
      </x:c>
      <x:c r="H40" s="14" t="str">
        <x:f>IF(ISNUMBER(G40),G40*F40,"")</x:f>
      </x:c>
      <x:c r="I40" t="str">
        <x:v>Giao thất bại</x:v>
      </x:c>
      <x:c r="J40" s="16"/>
      <x:c r="K40" t="str"/>
    </x:row>
    <x:row r="41">
      <x:c r="A41" t="str">
        <x:v>FM20260700040</x:v>
      </x:c>
      <x:c r="B41" s="16" t="n">
        <x:v>46212</x:v>
      </x:c>
      <x:c r="C41" t="str">
        <x:v>FM-01-01</x:v>
      </x:c>
      <x:c r="D41" t="str">
        <x:v>Nội thành</x:v>
      </x:c>
      <x:c r="E41" t="str">
        <x:v>Tiết kiệm</x:v>
      </x:c>
      <x:c r="F41" t="n">
        <x:v>0.5</x:v>
      </x:c>
      <x:c r="G41" s="14" t="str">
        <x:f>IF(E41="","",IFERROR(VLOOKUP(E41,'02_Bang_gia'!$A$2:$D$13,4,FALSE),"KHÔNG TÌM THẤY"))</x:f>
        <x:v>KHÔNG TÌM THẤY</x:v>
      </x:c>
      <x:c r="H41" s="14" t="str">
        <x:f>IF(ISNUMBER(G41),G41*F41,"")</x:f>
      </x:c>
      <x:c r="I41" t="str">
        <x:v>Đã giao</x:v>
      </x:c>
      <x:c r="J41" s="16" t="n">
        <x:v>46216</x:v>
      </x:c>
      <x:c r="K41" t="str"/>
    </x:row>
    <x:row r="42">
      <x:c r="A42" t="str">
        <x:v>FM20260700041</x:v>
      </x:c>
      <x:c r="B42" s="16" t="n">
        <x:v>46213</x:v>
      </x:c>
      <x:c r="C42" t="str">
        <x:v>FM-01-02</x:v>
      </x:c>
      <x:c r="D42" t="str">
        <x:v>Nội thành</x:v>
      </x:c>
      <x:c r="E42" t="str">
        <x:v>Tiêu chuẩn</x:v>
      </x:c>
      <x:c r="F42" t="n">
        <x:v>1.5</x:v>
      </x:c>
      <x:c r="G42" s="14" t="str">
        <x:f>IF(E42="","",IFERROR(VLOOKUP(E42,'02_Bang_gia'!$A$2:$D$13,4,FALSE),"KHÔNG TÌM THẤY"))</x:f>
        <x:v>KHÔNG TÌM THẤY</x:v>
      </x:c>
      <x:c r="H42" s="14" t="str">
        <x:f>IF(ISNUMBER(G42),G42*F42,"")</x:f>
      </x:c>
      <x:c r="I42" t="str">
        <x:v>Đang giao</x:v>
      </x:c>
      <x:c r="J42" s="16"/>
      <x:c r="K42" t="str"/>
    </x:row>
    <x:row r="43">
      <x:c r="A43" t="str">
        <x:v>FM20260700042</x:v>
      </x:c>
      <x:c r="B43" s="16" t="n">
        <x:v>46214</x:v>
      </x:c>
      <x:c r="C43" t="str">
        <x:v>FM-01-04</x:v>
      </x:c>
      <x:c r="D43" t="str">
        <x:v>Nội thành</x:v>
      </x:c>
      <x:c r="E43" t="str">
        <x:v>COD</x:v>
      </x:c>
      <x:c r="F43" t="n">
        <x:v>0.5</x:v>
      </x:c>
      <x:c r="G43" s="14" t="str">
        <x:f>IF(E43="","",IFERROR(VLOOKUP(E43,'02_Bang_gia'!$A$2:$D$13,4,FALSE),"KHÔNG TÌM THẤY"))</x:f>
        <x:v>KHÔNG TÌM THẤY</x:v>
      </x:c>
      <x:c r="H43" s="14" t="str">
        <x:f>IF(ISNUMBER(G43),G43*F43,"")</x:f>
      </x:c>
      <x:c r="I43" t="str">
        <x:v>Đã giao</x:v>
      </x:c>
      <x:c r="J43" s="16" t="n">
        <x:v>46215</x:v>
      </x:c>
      <x:c r="K43" t="str"/>
    </x:row>
    <x:row r="44">
      <x:c r="A44" t="str">
        <x:v>FM20260700043</x:v>
      </x:c>
      <x:c r="B44" s="16" t="n">
        <x:v>46215</x:v>
      </x:c>
      <x:c r="C44" t="str">
        <x:v>FM-03-04</x:v>
      </x:c>
      <x:c r="D44" t="str">
        <x:v>Liên tỉnh</x:v>
      </x:c>
      <x:c r="E44" t="str">
        <x:v>COD</x:v>
      </x:c>
      <x:c r="F44" t="n">
        <x:v>3</x:v>
      </x:c>
      <x:c r="G44" s="14" t="str">
        <x:f>IF(E44="","",IFERROR(VLOOKUP(E44,'02_Bang_gia'!$A$2:$D$13,4,FALSE),"KHÔNG TÌM THẤY"))</x:f>
        <x:v>KHÔNG TÌM THẤY</x:v>
      </x:c>
      <x:c r="H44" s="14" t="str">
        <x:f>IF(ISNUMBER(G44),G44*F44,"")</x:f>
      </x:c>
      <x:c r="I44" t="str">
        <x:v>Đã giao</x:v>
      </x:c>
      <x:c r="J44" s="16" t="n">
        <x:v>46216</x:v>
      </x:c>
      <x:c r="K44" t="str"/>
    </x:row>
    <x:row r="45">
      <x:c r="A45" t="str">
        <x:v>FM20260700044</x:v>
      </x:c>
      <x:c r="B45" s="16" t="n">
        <x:v>46216</x:v>
      </x:c>
      <x:c r="C45" t="str">
        <x:v>FM-01-03</x:v>
      </x:c>
      <x:c r="D45" t="str">
        <x:v>Nội thành</x:v>
      </x:c>
      <x:c r="E45" t="str">
        <x:v>Hỏa tốc</x:v>
      </x:c>
      <x:c r="F45" t="n">
        <x:v>3</x:v>
      </x:c>
      <x:c r="G45" s="14" t="str">
        <x:f>IF(E45="","",IFERROR(VLOOKUP(E45,'02_Bang_gia'!$A$2:$D$13,4,FALSE),"KHÔNG TÌM THẤY"))</x:f>
        <x:v>KHÔNG TÌM THẤY</x:v>
      </x:c>
      <x:c r="H45" s="14" t="str">
        <x:f>IF(ISNUMBER(G45),G45*F45,"")</x:f>
      </x:c>
      <x:c r="I45" t="str">
        <x:v>Đã giao</x:v>
      </x:c>
      <x:c r="J45" s="16" t="n">
        <x:v>46220</x:v>
      </x:c>
      <x:c r="K45" t="str"/>
    </x:row>
    <x:row r="46">
      <x:c r="A46" t="str">
        <x:v>FM20260700045</x:v>
      </x:c>
      <x:c r="B46" s="16" t="n">
        <x:v>46217</x:v>
      </x:c>
      <x:c r="C46" t="str">
        <x:v>FM-01-03</x:v>
      </x:c>
      <x:c r="D46" t="str">
        <x:v>Nội thành</x:v>
      </x:c>
      <x:c r="E46" t="str">
        <x:v>Hỏa tốc</x:v>
      </x:c>
      <x:c r="F46" t="n">
        <x:v>1</x:v>
      </x:c>
      <x:c r="G46" s="14" t="str">
        <x:f>IF(E46="","",IFERROR(VLOOKUP(E46,'02_Bang_gia'!$A$2:$D$13,4,FALSE),"KHÔNG TÌM THẤY"))</x:f>
        <x:v>KHÔNG TÌM THẤY</x:v>
      </x:c>
      <x:c r="H46" s="14" t="str">
        <x:f>IF(ISNUMBER(G46),G46*F46,"")</x:f>
      </x:c>
      <x:c r="I46" t="str">
        <x:v>Đã giao</x:v>
      </x:c>
      <x:c r="J46" s="16" t="n">
        <x:v>46221</x:v>
      </x:c>
      <x:c r="K46" t="str"/>
    </x:row>
    <x:row r="47">
      <x:c r="A47" t="str">
        <x:v>FM20260700046</x:v>
      </x:c>
      <x:c r="B47" s="16" t="n">
        <x:v>46218</x:v>
      </x:c>
      <x:c r="C47" t="str">
        <x:v>FM-03-01</x:v>
      </x:c>
      <x:c r="D47" t="str">
        <x:v>Liên tỉnh</x:v>
      </x:c>
      <x:c r="E47" t="str">
        <x:v>Tiết kiệm</x:v>
      </x:c>
      <x:c r="F47" t="n">
        <x:v>5</x:v>
      </x:c>
      <x:c r="G47" s="14" t="str">
        <x:f>IF(E47="","",IFERROR(VLOOKUP(E47,'02_Bang_gia'!$A$2:$D$13,4,FALSE),"KHÔNG TÌM THẤY"))</x:f>
        <x:v>KHÔNG TÌM THẤY</x:v>
      </x:c>
      <x:c r="H47" s="14" t="str">
        <x:f>IF(ISNUMBER(G47),G47*F47,"")</x:f>
      </x:c>
      <x:c r="I47" t="str">
        <x:v>Đã giao</x:v>
      </x:c>
      <x:c r="J47" s="16" t="n">
        <x:v>46220</x:v>
      </x:c>
      <x:c r="K47" t="str"/>
    </x:row>
    <x:row r="48">
      <x:c r="A48" t="str">
        <x:v>FM20260700047</x:v>
      </x:c>
      <x:c r="B48" s="16" t="n">
        <x:v>46219</x:v>
      </x:c>
      <x:c r="C48" t="str">
        <x:v>FM-02-01</x:v>
      </x:c>
      <x:c r="D48" t="str">
        <x:v>Ngoại thành</x:v>
      </x:c>
      <x:c r="E48" t="str">
        <x:v>Tiết kiệm</x:v>
      </x:c>
      <x:c r="F48" t="n">
        <x:v>2</x:v>
      </x:c>
      <x:c r="G48" s="14" t="str">
        <x:f>IF(E48="","",IFERROR(VLOOKUP(E48,'02_Bang_gia'!$A$2:$D$13,4,FALSE),"KHÔNG TÌM THẤY"))</x:f>
        <x:v>KHÔNG TÌM THẤY</x:v>
      </x:c>
      <x:c r="H48" s="14" t="str">
        <x:f>IF(ISNUMBER(G48),G48*F48,"")</x:f>
      </x:c>
      <x:c r="I48" t="str">
        <x:v>Đã giao</x:v>
      </x:c>
      <x:c r="J48" s="16" t="n">
        <x:v>46222</x:v>
      </x:c>
      <x:c r="K48" t="str"/>
    </x:row>
    <x:row r="49">
      <x:c r="A49" t="str">
        <x:v>FM20260700048</x:v>
      </x:c>
      <x:c r="B49" s="16" t="n">
        <x:v>46220</x:v>
      </x:c>
      <x:c r="C49" t="str">
        <x:v>FM-03-01</x:v>
      </x:c>
      <x:c r="D49" t="str">
        <x:v>Liên tỉnh</x:v>
      </x:c>
      <x:c r="E49" t="str">
        <x:v>Tiết kiệm</x:v>
      </x:c>
      <x:c r="F49" t="n">
        <x:v>1</x:v>
      </x:c>
      <x:c r="G49" s="14" t="str">
        <x:f>IF(E49="","",IFERROR(VLOOKUP(E49,'02_Bang_gia'!$A$2:$D$13,4,FALSE),"KHÔNG TÌM THẤY"))</x:f>
        <x:v>KHÔNG TÌM THẤY</x:v>
      </x:c>
      <x:c r="H49" s="14" t="str">
        <x:f>IF(ISNUMBER(G49),G49*F49,"")</x:f>
      </x:c>
      <x:c r="I49" t="str">
        <x:v>Đã giao</x:v>
      </x:c>
      <x:c r="J49" s="16" t="n">
        <x:v>46222</x:v>
      </x:c>
      <x:c r="K49" t="str"/>
    </x:row>
    <x:row r="50">
      <x:c r="A50" t="str">
        <x:v>FM20260700049</x:v>
      </x:c>
      <x:c r="B50" s="16" t="n">
        <x:v>46221</x:v>
      </x:c>
      <x:c r="C50" t="str">
        <x:v>FM-01-02</x:v>
      </x:c>
      <x:c r="D50" t="str">
        <x:v>Nội thành</x:v>
      </x:c>
      <x:c r="E50" t="str">
        <x:v>Tiêu chuẩn</x:v>
      </x:c>
      <x:c r="F50" t="n">
        <x:v>3</x:v>
      </x:c>
      <x:c r="G50" s="14" t="str">
        <x:f>IF(E50="","",IFERROR(VLOOKUP(E50,'02_Bang_gia'!$A$2:$D$13,4,FALSE),"KHÔNG TÌM THẤY"))</x:f>
        <x:v>KHÔNG TÌM THẤY</x:v>
      </x:c>
      <x:c r="H50" s="14" t="str">
        <x:f>IF(ISNUMBER(G50),G50*F50,"")</x:f>
      </x:c>
      <x:c r="I50" t="str">
        <x:v>Đã giao</x:v>
      </x:c>
      <x:c r="J50" s="16" t="n">
        <x:v>46223</x:v>
      </x:c>
      <x:c r="K50" t="str"/>
    </x:row>
    <x:row r="51">
      <x:c r="A51" t="str">
        <x:v>FM20260700050</x:v>
      </x:c>
      <x:c r="B51" s="16" t="n">
        <x:v>46222</x:v>
      </x:c>
      <x:c r="C51" t="str">
        <x:v>FM-01-04</x:v>
      </x:c>
      <x:c r="D51" t="str">
        <x:v>Nội thành</x:v>
      </x:c>
      <x:c r="E51" t="str">
        <x:v>COD</x:v>
      </x:c>
      <x:c r="F51" t="n">
        <x:v>1</x:v>
      </x:c>
      <x:c r="G51" s="14" t="str">
        <x:f>IF(E51="","",IFERROR(VLOOKUP(E51,'02_Bang_gia'!$A$2:$D$13,4,FALSE),"KHÔNG TÌM THẤY"))</x:f>
        <x:v>KHÔNG TÌM THẤY</x:v>
      </x:c>
      <x:c r="H51" s="14" t="str">
        <x:f>IF(ISNUMBER(G51),G51*F51,"")</x:f>
      </x:c>
      <x:c r="I51" t="str">
        <x:v>Đã giao</x:v>
      </x:c>
      <x:c r="J51" s="16" t="n">
        <x:v>46223</x:v>
      </x:c>
      <x:c r="K51" t="str"/>
    </x:row>
    <x:row r="52">
      <x:c r="A52" t="str">
        <x:v>FM20260700051</x:v>
      </x:c>
      <x:c r="B52" s="16" t="n">
        <x:v>46223</x:v>
      </x:c>
      <x:c r="C52" t="str">
        <x:v>FM-01-02</x:v>
      </x:c>
      <x:c r="D52" t="str">
        <x:v>Nội thành</x:v>
      </x:c>
      <x:c r="E52" t="str">
        <x:v>Tiêu chuẩn</x:v>
      </x:c>
      <x:c r="F52" t="n">
        <x:v>1.5</x:v>
      </x:c>
      <x:c r="G52" s="14" t="str">
        <x:f>IF(E52="","",IFERROR(VLOOKUP(E52,'02_Bang_gia'!$A$2:$D$13,4,FALSE),"KHÔNG TÌM THẤY"))</x:f>
        <x:v>KHÔNG TÌM THẤY</x:v>
      </x:c>
      <x:c r="H52" s="14" t="str">
        <x:f>IF(ISNUMBER(G52),G52*F52,"")</x:f>
      </x:c>
      <x:c r="I52" t="str">
        <x:v>Đang giao</x:v>
      </x:c>
      <x:c r="J52" s="16"/>
      <x:c r="K52" t="str"/>
    </x:row>
    <x:row r="53">
      <x:c r="A53" t="str">
        <x:v>FM20260700052</x:v>
      </x:c>
      <x:c r="B53" s="16" t="n">
        <x:v>46224</x:v>
      </x:c>
      <x:c r="C53" t="str">
        <x:v>FM-01-02</x:v>
      </x:c>
      <x:c r="D53" t="str">
        <x:v>Nội thành</x:v>
      </x:c>
      <x:c r="E53" t="str">
        <x:v>Tiêu chuẩn</x:v>
      </x:c>
      <x:c r="F53" t="n">
        <x:v>5</x:v>
      </x:c>
      <x:c r="G53" s="14" t="str">
        <x:f>IF(E53="","",IFERROR(VLOOKUP(E53,'02_Bang_gia'!$A$2:$D$13,4,FALSE),"KHÔNG TÌM THẤY"))</x:f>
        <x:v>KHÔNG TÌM THẤY</x:v>
      </x:c>
      <x:c r="H53" s="14" t="str">
        <x:f>IF(ISNUMBER(G53),G53*F53,"")</x:f>
      </x:c>
      <x:c r="I53" t="str">
        <x:v>Đã giao</x:v>
      </x:c>
      <x:c r="J53" s="16" t="n">
        <x:v>46227</x:v>
      </x:c>
      <x:c r="K53" t="str"/>
    </x:row>
    <x:row r="54">
      <x:c r="A54" t="str">
        <x:v>FM20260700053</x:v>
      </x:c>
      <x:c r="B54" s="16" t="n">
        <x:v>46225</x:v>
      </x:c>
      <x:c r="C54" t="str">
        <x:v>FM-02-04</x:v>
      </x:c>
      <x:c r="D54" t="str">
        <x:v>Ngoại thành</x:v>
      </x:c>
      <x:c r="E54" t="str">
        <x:v>COD</x:v>
      </x:c>
      <x:c r="F54" t="n">
        <x:v>5</x:v>
      </x:c>
      <x:c r="G54" s="14" t="str">
        <x:f>IF(E54="","",IFERROR(VLOOKUP(E54,'02_Bang_gia'!$A$2:$D$13,4,FALSE),"KHÔNG TÌM THẤY"))</x:f>
        <x:v>KHÔNG TÌM THẤY</x:v>
      </x:c>
      <x:c r="H54" s="14" t="str">
        <x:f>IF(ISNUMBER(G54),G54*F54,"")</x:f>
      </x:c>
      <x:c r="I54" t="str">
        <x:v>Đã giao</x:v>
      </x:c>
      <x:c r="J54" s="16" t="n">
        <x:v>46227</x:v>
      </x:c>
      <x:c r="K54" t="str"/>
    </x:row>
    <x:row r="55">
      <x:c r="A55" t="str">
        <x:v>FM20260700054</x:v>
      </x:c>
      <x:c r="B55" s="16" t="n">
        <x:v>46226</x:v>
      </x:c>
      <x:c r="C55" t="str">
        <x:v>FM-03-02</x:v>
      </x:c>
      <x:c r="D55" t="str">
        <x:v>Liên tỉnh</x:v>
      </x:c>
      <x:c r="E55" t="str">
        <x:v>Tiêu chuẩn</x:v>
      </x:c>
      <x:c r="F55" t="n">
        <x:v>2</x:v>
      </x:c>
      <x:c r="G55" s="14" t="str">
        <x:f>IF(E55="","",IFERROR(VLOOKUP(E55,'02_Bang_gia'!$A$2:$D$13,4,FALSE),"KHÔNG TÌM THẤY"))</x:f>
        <x:v>KHÔNG TÌM THẤY</x:v>
      </x:c>
      <x:c r="H55" s="14" t="str">
        <x:f>IF(ISNUMBER(G55),G55*F55,"")</x:f>
      </x:c>
      <x:c r="I55" t="str">
        <x:v>Đã giao</x:v>
      </x:c>
      <x:c r="J55" s="16" t="n">
        <x:v>46228</x:v>
      </x:c>
      <x:c r="K55" t="str"/>
    </x:row>
    <x:row r="56">
      <x:c r="A56" t="str">
        <x:v>FM20260700055</x:v>
      </x:c>
      <x:c r="B56" s="16" t="n">
        <x:v>46227</x:v>
      </x:c>
      <x:c r="C56" t="str">
        <x:v>FM-02-03</x:v>
      </x:c>
      <x:c r="D56" t="str">
        <x:v>Ngoại thành</x:v>
      </x:c>
      <x:c r="E56" t="str">
        <x:v>Hỏa tốc</x:v>
      </x:c>
      <x:c r="F56" t="n">
        <x:v>5</x:v>
      </x:c>
      <x:c r="G56" s="14" t="str">
        <x:f>IF(E56="","",IFERROR(VLOOKUP(E56,'02_Bang_gia'!$A$2:$D$13,4,FALSE),"KHÔNG TÌM THẤY"))</x:f>
        <x:v>KHÔNG TÌM THẤY</x:v>
      </x:c>
      <x:c r="H56" s="14" t="str">
        <x:f>IF(ISNUMBER(G56),G56*F56,"")</x:f>
      </x:c>
      <x:c r="I56" t="str">
        <x:v>Đã giao</x:v>
      </x:c>
      <x:c r="J56" s="16" t="n">
        <x:v>46228</x:v>
      </x:c>
      <x:c r="K56" t="str"/>
    </x:row>
    <x:row r="57">
      <x:c r="A57" t="str">
        <x:v>FM20260700056</x:v>
      </x:c>
      <x:c r="B57" s="16" t="n">
        <x:v>46228</x:v>
      </x:c>
      <x:c r="C57" t="str">
        <x:v>FM-02-03</x:v>
      </x:c>
      <x:c r="D57" t="str">
        <x:v>Ngoại thành</x:v>
      </x:c>
      <x:c r="E57" t="str">
        <x:v>Hỏa tốc</x:v>
      </x:c>
      <x:c r="F57" t="n">
        <x:v>2</x:v>
      </x:c>
      <x:c r="G57" s="14" t="str">
        <x:f>IF(E57="","",IFERROR(VLOOKUP(E57,'02_Bang_gia'!$A$2:$D$13,4,FALSE),"KHÔNG TÌM THẤY"))</x:f>
        <x:v>KHÔNG TÌM THẤY</x:v>
      </x:c>
      <x:c r="H57" s="14" t="str">
        <x:f>IF(ISNUMBER(G57),G57*F57,"")</x:f>
      </x:c>
      <x:c r="I57" t="str">
        <x:v>Đã giao</x:v>
      </x:c>
      <x:c r="J57" s="16" t="n">
        <x:v>46232</x:v>
      </x:c>
      <x:c r="K57" t="str"/>
    </x:row>
    <x:row r="58">
      <x:c r="A58" t="str">
        <x:v>FM20260700057</x:v>
      </x:c>
      <x:c r="B58" s="16" t="n">
        <x:v>46229</x:v>
      </x:c>
      <x:c r="C58" t="str">
        <x:v>FM-03-04</x:v>
      </x:c>
      <x:c r="D58" t="str">
        <x:v>Liên tỉnh</x:v>
      </x:c>
      <x:c r="E58" t="str">
        <x:v>COD</x:v>
      </x:c>
      <x:c r="F58" t="n">
        <x:v>0.5</x:v>
      </x:c>
      <x:c r="G58" s="14" t="str">
        <x:f>IF(E58="","",IFERROR(VLOOKUP(E58,'02_Bang_gia'!$A$2:$D$13,4,FALSE),"KHÔNG TÌM THẤY"))</x:f>
        <x:v>KHÔNG TÌM THẤY</x:v>
      </x:c>
      <x:c r="H58" s="14" t="str">
        <x:f>IF(ISNUMBER(G58),G58*F58,"")</x:f>
      </x:c>
      <x:c r="I58" t="str">
        <x:v>Đã giao</x:v>
      </x:c>
      <x:c r="J58" s="16" t="n">
        <x:v>46230</x:v>
      </x:c>
      <x:c r="K58" t="str"/>
    </x:row>
    <x:row r="59">
      <x:c r="A59" t="str">
        <x:v>FM20260700058</x:v>
      </x:c>
      <x:c r="B59" s="16" t="n">
        <x:v>46230</x:v>
      </x:c>
      <x:c r="C59" t="str">
        <x:v>FM-02-03</x:v>
      </x:c>
      <x:c r="D59" t="str">
        <x:v>Ngoại thành</x:v>
      </x:c>
      <x:c r="E59" t="str">
        <x:v>Hỏa tốc</x:v>
      </x:c>
      <x:c r="F59" t="n">
        <x:v>1</x:v>
      </x:c>
      <x:c r="G59" s="14" t="str">
        <x:f>IF(E59="","",IFERROR(VLOOKUP(E59,'02_Bang_gia'!$A$2:$D$13,4,FALSE),"KHÔNG TÌM THẤY"))</x:f>
        <x:v>KHÔNG TÌM THẤY</x:v>
      </x:c>
      <x:c r="H59" s="14" t="str">
        <x:f>IF(ISNUMBER(G59),G59*F59,"")</x:f>
      </x:c>
      <x:c r="I59" t="str">
        <x:v>Đã giao</x:v>
      </x:c>
      <x:c r="J59" s="16" t="n">
        <x:v>46231</x:v>
      </x:c>
      <x:c r="K59" t="str"/>
    </x:row>
    <x:row r="60">
      <x:c r="A60" t="str">
        <x:v>FM20260700059</x:v>
      </x:c>
      <x:c r="B60" s="16" t="n">
        <x:v>46231</x:v>
      </x:c>
      <x:c r="C60" t="str">
        <x:v>FM-01-04</x:v>
      </x:c>
      <x:c r="D60" t="str">
        <x:v>Nội thành</x:v>
      </x:c>
      <x:c r="E60" t="str">
        <x:v>COD</x:v>
      </x:c>
      <x:c r="F60" t="n">
        <x:v>1</x:v>
      </x:c>
      <x:c r="G60" s="14" t="str">
        <x:f>IF(E60="","",IFERROR(VLOOKUP(E60,'02_Bang_gia'!$A$2:$D$13,4,FALSE),"KHÔNG TÌM THẤY"))</x:f>
        <x:v>KHÔNG TÌM THẤY</x:v>
      </x:c>
      <x:c r="H60" s="14" t="str">
        <x:f>IF(ISNUMBER(G60),G60*F60,"")</x:f>
      </x:c>
      <x:c r="I60" t="str">
        <x:v>Đã giao</x:v>
      </x:c>
      <x:c r="J60" s="16" t="n">
        <x:v>46235</x:v>
      </x:c>
      <x:c r="K60" t="str"/>
    </x:row>
    <x:row r="61">
      <x:c r="A61" t="str">
        <x:v>FM20260700060</x:v>
      </x:c>
      <x:c r="B61" s="16" t="n">
        <x:v>46232</x:v>
      </x:c>
      <x:c r="C61" t="str">
        <x:v>FM-02-03</x:v>
      </x:c>
      <x:c r="D61" t="str">
        <x:v>Ngoại thành</x:v>
      </x:c>
      <x:c r="E61" t="str">
        <x:v>Hỏa tốc</x:v>
      </x:c>
      <x:c r="F61" t="n">
        <x:v>1</x:v>
      </x:c>
      <x:c r="G61" s="14" t="str">
        <x:f>IF(E61="","",IFERROR(VLOOKUP(E61,'02_Bang_gia'!$A$2:$D$13,4,FALSE),"KHÔNG TÌM THẤY"))</x:f>
        <x:v>KHÔNG TÌM THẤY</x:v>
      </x:c>
      <x:c r="H61" s="14" t="str">
        <x:f>IF(ISNUMBER(G61),G61*F61,"")</x:f>
      </x:c>
      <x:c r="I61" t="str">
        <x:v>Đã giao</x:v>
      </x:c>
      <x:c r="J61" s="16" t="n">
        <x:v>46236</x:v>
      </x:c>
      <x:c r="K61" t="str"/>
    </x:row>
    <x:row r="62">
      <x:c r="A62" t="str">
        <x:v>FM20260700061</x:v>
      </x:c>
      <x:c r="B62" s="16" t="n">
        <x:v>46233</x:v>
      </x:c>
      <x:c r="C62" t="str">
        <x:v>FM-01-02</x:v>
      </x:c>
      <x:c r="D62" t="str">
        <x:v>Nội thành</x:v>
      </x:c>
      <x:c r="E62" t="str">
        <x:v>Tiêu chuẩn</x:v>
      </x:c>
      <x:c r="F62" t="n">
        <x:v>0.5</x:v>
      </x:c>
      <x:c r="G62" s="14" t="str">
        <x:f>IF(E62="","",IFERROR(VLOOKUP(E62,'02_Bang_gia'!$A$2:$D$13,4,FALSE),"KHÔNG TÌM THẤY"))</x:f>
        <x:v>KHÔNG TÌM THẤY</x:v>
      </x:c>
      <x:c r="H62" s="14" t="str">
        <x:f>IF(ISNUMBER(G62),G62*F62,"")</x:f>
      </x:c>
      <x:c r="I62" t="str">
        <x:v>Đã giao</x:v>
      </x:c>
      <x:c r="J62" s="16" t="n">
        <x:v>46234</x:v>
      </x:c>
      <x:c r="K62" t="str"/>
    </x:row>
    <x:row r="63">
      <x:c r="A63" t="str">
        <x:v>FM20260700062</x:v>
      </x:c>
      <x:c r="B63" s="16" t="n">
        <x:v>46234</x:v>
      </x:c>
      <x:c r="C63" t="str">
        <x:v>FM-03-03</x:v>
      </x:c>
      <x:c r="D63" t="str">
        <x:v>Liên tỉnh</x:v>
      </x:c>
      <x:c r="E63" t="str">
        <x:v>Hỏa tốc</x:v>
      </x:c>
      <x:c r="F63" t="n">
        <x:v>0.5</x:v>
      </x:c>
      <x:c r="G63" s="14" t="str">
        <x:f>IF(E63="","",IFERROR(VLOOKUP(E63,'02_Bang_gia'!$A$2:$D$13,4,FALSE),"KHÔNG TÌM THẤY"))</x:f>
        <x:v>KHÔNG TÌM THẤY</x:v>
      </x:c>
      <x:c r="H63" s="14" t="str">
        <x:f>IF(ISNUMBER(G63),G63*F63,"")</x:f>
      </x:c>
      <x:c r="I63" t="str">
        <x:v>Giao thất bại</x:v>
      </x:c>
      <x:c r="J63" s="16"/>
      <x:c r="K63" t="str"/>
    </x:row>
    <x:row r="64">
      <x:c r="A64" t="str">
        <x:v>FM20260700063</x:v>
      </x:c>
      <x:c r="B64" s="16" t="n">
        <x:v>46204</x:v>
      </x:c>
      <x:c r="C64" t="str">
        <x:v>FM-01-02</x:v>
      </x:c>
      <x:c r="D64" t="str">
        <x:v>Nội thành</x:v>
      </x:c>
      <x:c r="E64" t="str">
        <x:v>Tiêu chuẩn</x:v>
      </x:c>
      <x:c r="F64" t="n">
        <x:v>1</x:v>
      </x:c>
      <x:c r="G64" s="14" t="str">
        <x:f>IF(E64="","",IFERROR(VLOOKUP(E64,'02_Bang_gia'!$A$2:$D$13,4,FALSE),"KHÔNG TÌM THẤY"))</x:f>
        <x:v>KHÔNG TÌM THẤY</x:v>
      </x:c>
      <x:c r="H64" s="14" t="str">
        <x:f>IF(ISNUMBER(G64),G64*F64,"")</x:f>
      </x:c>
      <x:c r="I64" t="str">
        <x:v>Đang giao</x:v>
      </x:c>
      <x:c r="J64" s="16"/>
      <x:c r="K64" t="str"/>
    </x:row>
    <x:row r="65">
      <x:c r="A65" t="str">
        <x:v>FM20260700064</x:v>
      </x:c>
      <x:c r="B65" s="16" t="n">
        <x:v>46205</x:v>
      </x:c>
      <x:c r="C65" t="str">
        <x:v>FM-01-03</x:v>
      </x:c>
      <x:c r="D65" t="str">
        <x:v>Nội thành</x:v>
      </x:c>
      <x:c r="E65" t="str">
        <x:v>Hỏa tốc</x:v>
      </x:c>
      <x:c r="F65" t="n">
        <x:v>1</x:v>
      </x:c>
      <x:c r="G65" s="14" t="str">
        <x:f>IF(E65="","",IFERROR(VLOOKUP(E65,'02_Bang_gia'!$A$2:$D$13,4,FALSE),"KHÔNG TÌM THẤY"))</x:f>
        <x:v>KHÔNG TÌM THẤY</x:v>
      </x:c>
      <x:c r="H65" s="14" t="str">
        <x:f>IF(ISNUMBER(G65),G65*F65,"")</x:f>
      </x:c>
      <x:c r="I65" t="str">
        <x:v>Đã giao</x:v>
      </x:c>
      <x:c r="J65" s="16" t="n">
        <x:v>46209</x:v>
      </x:c>
      <x:c r="K65" t="str"/>
    </x:row>
    <x:row r="66">
      <x:c r="A66" t="str">
        <x:v>FM20260700065</x:v>
      </x:c>
      <x:c r="B66" s="16" t="n">
        <x:v>46206</x:v>
      </x:c>
      <x:c r="C66" t="str">
        <x:v>FM-02-03</x:v>
      </x:c>
      <x:c r="D66" t="str">
        <x:v>Ngoại thành</x:v>
      </x:c>
      <x:c r="E66" t="str">
        <x:v>Hỏa tốc</x:v>
      </x:c>
      <x:c r="F66" t="n">
        <x:v>1</x:v>
      </x:c>
      <x:c r="G66" s="14" t="str">
        <x:f>IF(E66="","",IFERROR(VLOOKUP(E66,'02_Bang_gia'!$A$2:$D$13,4,FALSE),"KHÔNG TÌM THẤY"))</x:f>
        <x:v>KHÔNG TÌM THẤY</x:v>
      </x:c>
      <x:c r="H66" s="14" t="str">
        <x:f>IF(ISNUMBER(G66),G66*F66,"")</x:f>
      </x:c>
      <x:c r="I66" t="str">
        <x:v>Đang giao</x:v>
      </x:c>
      <x:c r="J66" s="16"/>
      <x:c r="K66" t="str"/>
    </x:row>
    <x:row r="67">
      <x:c r="A67" t="str">
        <x:v>FM20260700066</x:v>
      </x:c>
      <x:c r="B67" s="16" t="n">
        <x:v>46207</x:v>
      </x:c>
      <x:c r="C67" t="str">
        <x:v>FM-02-03</x:v>
      </x:c>
      <x:c r="D67" t="str">
        <x:v>Ngoại thành</x:v>
      </x:c>
      <x:c r="E67" t="str">
        <x:v>Hỏa tốc</x:v>
      </x:c>
      <x:c r="F67" t="n">
        <x:v>1.5</x:v>
      </x:c>
      <x:c r="G67" s="14" t="str">
        <x:f>IF(E67="","",IFERROR(VLOOKUP(E67,'02_Bang_gia'!$A$2:$D$13,4,FALSE),"KHÔNG TÌM THẤY"))</x:f>
        <x:v>KHÔNG TÌM THẤY</x:v>
      </x:c>
      <x:c r="H67" s="14" t="str">
        <x:f>IF(ISNUMBER(G67),G67*F67,"")</x:f>
      </x:c>
      <x:c r="I67" t="str">
        <x:v>Đã giao</x:v>
      </x:c>
      <x:c r="J67" s="16" t="n">
        <x:v>46211</x:v>
      </x:c>
      <x:c r="K67" t="str"/>
    </x:row>
    <x:row r="68">
      <x:c r="A68" t="str">
        <x:v>FM20260700067</x:v>
      </x:c>
      <x:c r="B68" s="16" t="n">
        <x:v>46208</x:v>
      </x:c>
      <x:c r="C68" t="str">
        <x:v>FM-02-04</x:v>
      </x:c>
      <x:c r="D68" t="str">
        <x:v>Ngoại thành</x:v>
      </x:c>
      <x:c r="E68" t="str">
        <x:v>COD</x:v>
      </x:c>
      <x:c r="F68" t="n">
        <x:v>1</x:v>
      </x:c>
      <x:c r="G68" s="14" t="str">
        <x:f>IF(E68="","",IFERROR(VLOOKUP(E68,'02_Bang_gia'!$A$2:$D$13,4,FALSE),"KHÔNG TÌM THẤY"))</x:f>
        <x:v>KHÔNG TÌM THẤY</x:v>
      </x:c>
      <x:c r="H68" s="14" t="str">
        <x:f>IF(ISNUMBER(G68),G68*F68,"")</x:f>
      </x:c>
      <x:c r="I68" t="str">
        <x:v>Đã giao</x:v>
      </x:c>
      <x:c r="J68" s="16" t="n">
        <x:v>46212</x:v>
      </x:c>
      <x:c r="K68" t="str"/>
    </x:row>
    <x:row r="69">
      <x:c r="A69" t="str">
        <x:v>FM20260700068</x:v>
      </x:c>
      <x:c r="B69" s="16" t="n">
        <x:v>46209</x:v>
      </x:c>
      <x:c r="C69" t="str">
        <x:v>FM-01-04</x:v>
      </x:c>
      <x:c r="D69" t="str">
        <x:v>Nội thành</x:v>
      </x:c>
      <x:c r="E69" t="str">
        <x:v>COD</x:v>
      </x:c>
      <x:c r="F69" t="n">
        <x:v>3</x:v>
      </x:c>
      <x:c r="G69" s="14" t="str">
        <x:f>IF(E69="","",IFERROR(VLOOKUP(E69,'02_Bang_gia'!$A$2:$D$13,4,FALSE),"KHÔNG TÌM THẤY"))</x:f>
        <x:v>KHÔNG TÌM THẤY</x:v>
      </x:c>
      <x:c r="H69" s="14" t="str">
        <x:f>IF(ISNUMBER(G69),G69*F69,"")</x:f>
      </x:c>
      <x:c r="I69" t="str">
        <x:v>Đã giao</x:v>
      </x:c>
      <x:c r="J69" s="16" t="n">
        <x:v>46210</x:v>
      </x:c>
      <x:c r="K69" t="str"/>
    </x:row>
    <x:row r="70">
      <x:c r="A70" t="str">
        <x:v>FM20260700069</x:v>
      </x:c>
      <x:c r="B70" s="16" t="n">
        <x:v>46210</x:v>
      </x:c>
      <x:c r="C70" t="str">
        <x:v>FM-03-04</x:v>
      </x:c>
      <x:c r="D70" t="str">
        <x:v>Liên tỉnh</x:v>
      </x:c>
      <x:c r="E70" t="str">
        <x:v>COD</x:v>
      </x:c>
      <x:c r="F70" t="n">
        <x:v>0.5</x:v>
      </x:c>
      <x:c r="G70" s="14" t="str">
        <x:f>IF(E70="","",IFERROR(VLOOKUP(E70,'02_Bang_gia'!$A$2:$D$13,4,FALSE),"KHÔNG TÌM THẤY"))</x:f>
        <x:v>KHÔNG TÌM THẤY</x:v>
      </x:c>
      <x:c r="H70" s="14" t="str">
        <x:f>IF(ISNUMBER(G70),G70*F70,"")</x:f>
      </x:c>
      <x:c r="I70" t="str">
        <x:v>Đã giao</x:v>
      </x:c>
      <x:c r="J70" s="16" t="n">
        <x:v>46213</x:v>
      </x:c>
      <x:c r="K70" t="str"/>
    </x:row>
    <x:row r="71">
      <x:c r="A71" t="str">
        <x:v>FM20260700070</x:v>
      </x:c>
      <x:c r="B71" s="16" t="n">
        <x:v>46211</x:v>
      </x:c>
      <x:c r="C71" t="str">
        <x:v>FM-01-01</x:v>
      </x:c>
      <x:c r="D71" t="str">
        <x:v>Nội thành</x:v>
      </x:c>
      <x:c r="E71" t="str">
        <x:v>Tiết kiệm</x:v>
      </x:c>
      <x:c r="F71" t="n">
        <x:v>0.5</x:v>
      </x:c>
      <x:c r="G71" s="14" t="str">
        <x:f>IF(E71="","",IFERROR(VLOOKUP(E71,'02_Bang_gia'!$A$2:$D$13,4,FALSE),"KHÔNG TÌM THẤY"))</x:f>
        <x:v>KHÔNG TÌM THẤY</x:v>
      </x:c>
      <x:c r="H71" s="14" t="str">
        <x:f>IF(ISNUMBER(G71),G71*F71,"")</x:f>
      </x:c>
      <x:c r="I71" t="str">
        <x:v>Đã giao</x:v>
      </x:c>
      <x:c r="J71" s="16" t="n">
        <x:v>46213</x:v>
      </x:c>
      <x:c r="K71" t="str"/>
    </x:row>
    <x:row r="72">
      <x:c r="A72" t="str">
        <x:v>FM20260700071</x:v>
      </x:c>
      <x:c r="B72" s="16" t="n">
        <x:v>46212</x:v>
      </x:c>
      <x:c r="C72" t="str">
        <x:v>FM-03-01</x:v>
      </x:c>
      <x:c r="D72" t="str">
        <x:v>Liên tỉnh</x:v>
      </x:c>
      <x:c r="E72" t="str">
        <x:v>Tiết kiệm</x:v>
      </x:c>
      <x:c r="F72" t="n">
        <x:v>0.5</x:v>
      </x:c>
      <x:c r="G72" s="14" t="str">
        <x:f>IF(E72="","",IFERROR(VLOOKUP(E72,'02_Bang_gia'!$A$2:$D$13,4,FALSE),"KHÔNG TÌM THẤY"))</x:f>
        <x:v>KHÔNG TÌM THẤY</x:v>
      </x:c>
      <x:c r="H72" s="14" t="str">
        <x:f>IF(ISNUMBER(G72),G72*F72,"")</x:f>
      </x:c>
      <x:c r="I72" t="str">
        <x:v>Đã giao</x:v>
      </x:c>
      <x:c r="J72" s="16" t="n">
        <x:v>46214</x:v>
      </x:c>
      <x:c r="K72" t="str"/>
    </x:row>
    <x:row r="73">
      <x:c r="A73" t="str">
        <x:v>FM20260700072</x:v>
      </x:c>
      <x:c r="B73" s="16" t="n">
        <x:v>46213</x:v>
      </x:c>
      <x:c r="C73" t="str">
        <x:v>FM-03-02</x:v>
      </x:c>
      <x:c r="D73" t="str">
        <x:v>Liên tỉnh</x:v>
      </x:c>
      <x:c r="E73" t="str">
        <x:v>Tiêu chuẩn</x:v>
      </x:c>
      <x:c r="F73" t="n">
        <x:v>2</x:v>
      </x:c>
      <x:c r="G73" s="14" t="str">
        <x:f>IF(E73="","",IFERROR(VLOOKUP(E73,'02_Bang_gia'!$A$2:$D$13,4,FALSE),"KHÔNG TÌM THẤY"))</x:f>
        <x:v>KHÔNG TÌM THẤY</x:v>
      </x:c>
      <x:c r="H73" s="14" t="str">
        <x:f>IF(ISNUMBER(G73),G73*F73,"")</x:f>
      </x:c>
      <x:c r="I73" t="str">
        <x:v>Đã giao</x:v>
      </x:c>
      <x:c r="J73" s="16" t="n">
        <x:v>46215</x:v>
      </x:c>
      <x:c r="K73" t="str"/>
    </x:row>
    <x:row r="74">
      <x:c r="A74" t="str">
        <x:v>FM20260700073</x:v>
      </x:c>
      <x:c r="B74" s="16" t="n">
        <x:v>46214</x:v>
      </x:c>
      <x:c r="C74" t="str">
        <x:v>FM-01-02</x:v>
      </x:c>
      <x:c r="D74" t="str">
        <x:v>Nội thành</x:v>
      </x:c>
      <x:c r="E74" t="str">
        <x:v>Tiêu chuẩn</x:v>
      </x:c>
      <x:c r="F74" t="n">
        <x:v>3</x:v>
      </x:c>
      <x:c r="G74" s="14" t="str">
        <x:f>IF(E74="","",IFERROR(VLOOKUP(E74,'02_Bang_gia'!$A$2:$D$13,4,FALSE),"KHÔNG TÌM THẤY"))</x:f>
        <x:v>KHÔNG TÌM THẤY</x:v>
      </x:c>
      <x:c r="H74" s="14" t="str">
        <x:f>IF(ISNUMBER(G74),G74*F74,"")</x:f>
      </x:c>
      <x:c r="I74" t="str">
        <x:v>Giao thất bại</x:v>
      </x:c>
      <x:c r="J74" s="16"/>
      <x:c r="K74" t="str"/>
    </x:row>
    <x:row r="75">
      <x:c r="A75" t="str">
        <x:v>FM20260700074</x:v>
      </x:c>
      <x:c r="B75" s="16" t="n">
        <x:v>46215</x:v>
      </x:c>
      <x:c r="C75" t="str">
        <x:v>FM-01-04</x:v>
      </x:c>
      <x:c r="D75" t="str">
        <x:v>Nội thành</x:v>
      </x:c>
      <x:c r="E75" t="str">
        <x:v>COD</x:v>
      </x:c>
      <x:c r="F75" t="n">
        <x:v>3</x:v>
      </x:c>
      <x:c r="G75" s="14" t="str">
        <x:f>IF(E75="","",IFERROR(VLOOKUP(E75,'02_Bang_gia'!$A$2:$D$13,4,FALSE),"KHÔNG TÌM THẤY"))</x:f>
        <x:v>KHÔNG TÌM THẤY</x:v>
      </x:c>
      <x:c r="H75" s="14" t="str">
        <x:f>IF(ISNUMBER(G75),G75*F75,"")</x:f>
      </x:c>
      <x:c r="I75" t="str">
        <x:v>Đã giao</x:v>
      </x:c>
      <x:c r="J75" s="16" t="n">
        <x:v>46216</x:v>
      </x:c>
      <x:c r="K75" t="str"/>
    </x:row>
    <x:row r="76">
      <x:c r="A76" t="str">
        <x:v>FM20260700075</x:v>
      </x:c>
      <x:c r="B76" s="16" t="n">
        <x:v>46216</x:v>
      </x:c>
      <x:c r="C76" t="str">
        <x:v>FM-01-02</x:v>
      </x:c>
      <x:c r="D76" t="str">
        <x:v>Nội thành</x:v>
      </x:c>
      <x:c r="E76" t="str">
        <x:v>Tiêu chuẩn</x:v>
      </x:c>
      <x:c r="F76" t="n">
        <x:v>1.5</x:v>
      </x:c>
      <x:c r="G76" s="14" t="str">
        <x:f>IF(E76="","",IFERROR(VLOOKUP(E76,'02_Bang_gia'!$A$2:$D$13,4,FALSE),"KHÔNG TÌM THẤY"))</x:f>
        <x:v>KHÔNG TÌM THẤY</x:v>
      </x:c>
      <x:c r="H76" s="14" t="str">
        <x:f>IF(ISNUMBER(G76),G76*F76,"")</x:f>
      </x:c>
      <x:c r="I76" t="str">
        <x:v>Đã giao</x:v>
      </x:c>
      <x:c r="J76" s="16" t="n">
        <x:v>46219</x:v>
      </x:c>
      <x:c r="K76" t="str"/>
    </x:row>
    <x:row r="77">
      <x:c r="A77" t="str">
        <x:v>FM20260700076</x:v>
      </x:c>
      <x:c r="B77" s="16" t="n">
        <x:v>46217</x:v>
      </x:c>
      <x:c r="C77" t="str">
        <x:v>FM-01-04</x:v>
      </x:c>
      <x:c r="D77" t="str">
        <x:v>Nội thành</x:v>
      </x:c>
      <x:c r="E77" t="str">
        <x:v>COD</x:v>
      </x:c>
      <x:c r="F77" t="n">
        <x:v>1</x:v>
      </x:c>
      <x:c r="G77" s="14" t="str">
        <x:f>IF(E77="","",IFERROR(VLOOKUP(E77,'02_Bang_gia'!$A$2:$D$13,4,FALSE),"KHÔNG TÌM THẤY"))</x:f>
        <x:v>KHÔNG TÌM THẤY</x:v>
      </x:c>
      <x:c r="H77" s="14" t="str">
        <x:f>IF(ISNUMBER(G77),G77*F77,"")</x:f>
      </x:c>
      <x:c r="I77" t="str">
        <x:v>Đã giao</x:v>
      </x:c>
      <x:c r="J77" s="16" t="n">
        <x:v>46220</x:v>
      </x:c>
      <x:c r="K77" t="str"/>
    </x:row>
    <x:row r="78">
      <x:c r="A78" t="str">
        <x:v>FM20260700077</x:v>
      </x:c>
      <x:c r="B78" s="16" t="n">
        <x:v>46218</x:v>
      </x:c>
      <x:c r="C78" t="str">
        <x:v>FM-02-01</x:v>
      </x:c>
      <x:c r="D78" t="str">
        <x:v>Ngoại thành</x:v>
      </x:c>
      <x:c r="E78" t="str">
        <x:v>Tiết kiệm</x:v>
      </x:c>
      <x:c r="F78" t="n">
        <x:v>2</x:v>
      </x:c>
      <x:c r="G78" s="14" t="str">
        <x:f>IF(E78="","",IFERROR(VLOOKUP(E78,'02_Bang_gia'!$A$2:$D$13,4,FALSE),"KHÔNG TÌM THẤY"))</x:f>
        <x:v>KHÔNG TÌM THẤY</x:v>
      </x:c>
      <x:c r="H78" s="14" t="str">
        <x:f>IF(ISNUMBER(G78),G78*F78,"")</x:f>
      </x:c>
      <x:c r="I78" t="str">
        <x:v>Đã giao</x:v>
      </x:c>
      <x:c r="J78" s="16" t="n">
        <x:v>46221</x:v>
      </x:c>
      <x:c r="K78" t="str"/>
    </x:row>
    <x:row r="79">
      <x:c r="A79" t="str">
        <x:v>FM20260700078</x:v>
      </x:c>
      <x:c r="B79" s="16" t="n">
        <x:v>46219</x:v>
      </x:c>
      <x:c r="C79" t="str">
        <x:v>FM-02-02</x:v>
      </x:c>
      <x:c r="D79" t="str">
        <x:v>Ngoại thành</x:v>
      </x:c>
      <x:c r="E79" t="str">
        <x:v>Tiêu chuẩn</x:v>
      </x:c>
      <x:c r="F79" t="n">
        <x:v>0.5</x:v>
      </x:c>
      <x:c r="G79" s="14" t="str">
        <x:f>IF(E79="","",IFERROR(VLOOKUP(E79,'02_Bang_gia'!$A$2:$D$13,4,FALSE),"KHÔNG TÌM THẤY"))</x:f>
        <x:v>KHÔNG TÌM THẤY</x:v>
      </x:c>
      <x:c r="H79" s="14" t="str">
        <x:f>IF(ISNUMBER(G79),G79*F79,"")</x:f>
      </x:c>
      <x:c r="I79" t="str">
        <x:v>Đang giao</x:v>
      </x:c>
      <x:c r="J79" s="16"/>
      <x:c r="K79" t="str"/>
    </x:row>
    <x:row r="80">
      <x:c r="A80" t="str">
        <x:v>FM20260700079</x:v>
      </x:c>
      <x:c r="B80" s="16" t="n">
        <x:v>46220</x:v>
      </x:c>
      <x:c r="C80" t="str">
        <x:v>FM-01-01</x:v>
      </x:c>
      <x:c r="D80" t="str">
        <x:v>Nội thành</x:v>
      </x:c>
      <x:c r="E80" t="str">
        <x:v>Tiết kiệm</x:v>
      </x:c>
      <x:c r="F80" t="n">
        <x:v>0.5</x:v>
      </x:c>
      <x:c r="G80" s="14" t="str">
        <x:f>IF(E80="","",IFERROR(VLOOKUP(E80,'02_Bang_gia'!$A$2:$D$13,4,FALSE),"KHÔNG TÌM THẤY"))</x:f>
        <x:v>KHÔNG TÌM THẤY</x:v>
      </x:c>
      <x:c r="H80" s="14" t="str">
        <x:f>IF(ISNUMBER(G80),G80*F80,"")</x:f>
      </x:c>
      <x:c r="I80" t="str">
        <x:v>Đã giao</x:v>
      </x:c>
      <x:c r="J80" s="16" t="n">
        <x:v>46221</x:v>
      </x:c>
      <x:c r="K80" t="str"/>
    </x:row>
    <x:row r="81">
      <x:c r="A81" t="str">
        <x:v>FM20260700080</x:v>
      </x:c>
      <x:c r="B81" s="16" t="n">
        <x:v>46221</x:v>
      </x:c>
      <x:c r="C81" t="str">
        <x:v>FM-03-01</x:v>
      </x:c>
      <x:c r="D81" t="str">
        <x:v>Liên tỉnh</x:v>
      </x:c>
      <x:c r="E81" t="str">
        <x:v>Tiết kiệm</x:v>
      </x:c>
      <x:c r="F81" t="n">
        <x:v>1</x:v>
      </x:c>
      <x:c r="G81" s="14" t="str">
        <x:f>IF(E81="","",IFERROR(VLOOKUP(E81,'02_Bang_gia'!$A$2:$D$13,4,FALSE),"KHÔNG TÌM THẤY"))</x:f>
        <x:v>KHÔNG TÌM THẤY</x:v>
      </x:c>
      <x:c r="H81" s="14" t="str">
        <x:f>IF(ISNUMBER(G81),G81*F81,"")</x:f>
      </x:c>
      <x:c r="I81" t="str">
        <x:v>Đã giao</x:v>
      </x:c>
      <x:c r="J81" s="16" t="n">
        <x:v>46224</x:v>
      </x:c>
      <x:c r="K81" t="str"/>
    </x:row>
    <x:row r="82">
      <x:c r="A82" t="str">
        <x:v>FM20260700081</x:v>
      </x:c>
      <x:c r="B82" s="16" t="n">
        <x:v>46222</x:v>
      </x:c>
      <x:c r="C82" t="str">
        <x:v>FM-02-02</x:v>
      </x:c>
      <x:c r="D82" t="str">
        <x:v>Ngoại thành</x:v>
      </x:c>
      <x:c r="E82" t="str">
        <x:v>Tiêu chuẩn</x:v>
      </x:c>
      <x:c r="F82" t="n">
        <x:v>1</x:v>
      </x:c>
      <x:c r="G82" s="14" t="str">
        <x:f>IF(E82="","",IFERROR(VLOOKUP(E82,'02_Bang_gia'!$A$2:$D$13,4,FALSE),"KHÔNG TÌM THẤY"))</x:f>
        <x:v>KHÔNG TÌM THẤY</x:v>
      </x:c>
      <x:c r="H82" s="14" t="str">
        <x:f>IF(ISNUMBER(G82),G82*F82,"")</x:f>
      </x:c>
      <x:c r="I82" t="str">
        <x:v>Đang giao</x:v>
      </x:c>
      <x:c r="J82" s="16"/>
      <x:c r="K82" t="str"/>
    </x:row>
    <x:row r="83">
      <x:c r="A83" t="str">
        <x:v>FM20260700082</x:v>
      </x:c>
      <x:c r="B83" s="16" t="n">
        <x:v>46223</x:v>
      </x:c>
      <x:c r="C83" t="str">
        <x:v>FM-02-02</x:v>
      </x:c>
      <x:c r="D83" t="str">
        <x:v>Ngoại thành</x:v>
      </x:c>
      <x:c r="E83" t="str">
        <x:v>Tiêu chuẩn</x:v>
      </x:c>
      <x:c r="F83" t="n">
        <x:v>3</x:v>
      </x:c>
      <x:c r="G83" s="14" t="str">
        <x:f>IF(E83="","",IFERROR(VLOOKUP(E83,'02_Bang_gia'!$A$2:$D$13,4,FALSE),"KHÔNG TÌM THẤY"))</x:f>
        <x:v>KHÔNG TÌM THẤY</x:v>
      </x:c>
      <x:c r="H83" s="14" t="str">
        <x:f>IF(ISNUMBER(G83),G83*F83,"")</x:f>
      </x:c>
      <x:c r="I83" t="str">
        <x:v>Đã giao</x:v>
      </x:c>
      <x:c r="J83" s="16" t="n">
        <x:v>46227</x:v>
      </x:c>
      <x:c r="K83" t="str"/>
    </x:row>
    <x:row r="84">
      <x:c r="A84" t="str">
        <x:v>FM20260700083</x:v>
      </x:c>
      <x:c r="B84" s="16" t="n">
        <x:v>46224</x:v>
      </x:c>
      <x:c r="C84" t="str">
        <x:v>FM-03-04</x:v>
      </x:c>
      <x:c r="D84" t="str">
        <x:v>Liên tỉnh</x:v>
      </x:c>
      <x:c r="E84" t="str">
        <x:v>COD</x:v>
      </x:c>
      <x:c r="F84" t="n">
        <x:v>5</x:v>
      </x:c>
      <x:c r="G84" s="14" t="str">
        <x:f>IF(E84="","",IFERROR(VLOOKUP(E84,'02_Bang_gia'!$A$2:$D$13,4,FALSE),"KHÔNG TÌM THẤY"))</x:f>
        <x:v>KHÔNG TÌM THẤY</x:v>
      </x:c>
      <x:c r="H84" s="14" t="str">
        <x:f>IF(ISNUMBER(G84),G84*F84,"")</x:f>
      </x:c>
      <x:c r="I84" t="str">
        <x:v>Đã giao</x:v>
      </x:c>
      <x:c r="J84" s="16" t="n">
        <x:v>46225</x:v>
      </x:c>
      <x:c r="K84" t="str"/>
    </x:row>
    <x:row r="85">
      <x:c r="A85" t="str">
        <x:v>FM20260700084</x:v>
      </x:c>
      <x:c r="B85" s="16" t="n">
        <x:v>46225</x:v>
      </x:c>
      <x:c r="C85" t="str">
        <x:v>FM-03-01</x:v>
      </x:c>
      <x:c r="D85" t="str">
        <x:v>Liên tỉnh</x:v>
      </x:c>
      <x:c r="E85" t="str">
        <x:v>Tiết kiệm</x:v>
      </x:c>
      <x:c r="F85" t="n">
        <x:v>1</x:v>
      </x:c>
      <x:c r="G85" s="14" t="str">
        <x:f>IF(E85="","",IFERROR(VLOOKUP(E85,'02_Bang_gia'!$A$2:$D$13,4,FALSE),"KHÔNG TÌM THẤY"))</x:f>
        <x:v>KHÔNG TÌM THẤY</x:v>
      </x:c>
      <x:c r="H85" s="14" t="str">
        <x:f>IF(ISNUMBER(G85),G85*F85,"")</x:f>
      </x:c>
      <x:c r="I85" t="str">
        <x:v>Đã giao</x:v>
      </x:c>
      <x:c r="J85" s="16" t="n">
        <x:v>46226</x:v>
      </x:c>
      <x:c r="K85" t="str"/>
    </x:row>
    <x:row r="86">
      <x:c r="A86" t="str">
        <x:v>FM20260700085</x:v>
      </x:c>
      <x:c r="B86" s="16" t="n">
        <x:v>46226</x:v>
      </x:c>
      <x:c r="C86" t="str">
        <x:v>FM-02-01</x:v>
      </x:c>
      <x:c r="D86" t="str">
        <x:v>Ngoại thành</x:v>
      </x:c>
      <x:c r="E86" t="str">
        <x:v>Tiết kiệm</x:v>
      </x:c>
      <x:c r="F86" t="n">
        <x:v>5</x:v>
      </x:c>
      <x:c r="G86" s="14" t="str">
        <x:f>IF(E86="","",IFERROR(VLOOKUP(E86,'02_Bang_gia'!$A$2:$D$13,4,FALSE),"KHÔNG TÌM THẤY"))</x:f>
        <x:v>KHÔNG TÌM THẤY</x:v>
      </x:c>
      <x:c r="H86" s="14" t="str">
        <x:f>IF(ISNUMBER(G86),G86*F86,"")</x:f>
      </x:c>
      <x:c r="I86" t="str">
        <x:v>Đã giao</x:v>
      </x:c>
      <x:c r="J86" s="16" t="n">
        <x:v>46227</x:v>
      </x:c>
      <x:c r="K86" t="str"/>
    </x:row>
    <x:row r="87">
      <x:c r="A87" t="str">
        <x:v>FM20260700086</x:v>
      </x:c>
      <x:c r="B87" s="16" t="n">
        <x:v>46227</x:v>
      </x:c>
      <x:c r="C87" t="str">
        <x:v>FM-03-01</x:v>
      </x:c>
      <x:c r="D87" t="str">
        <x:v>Liên tỉnh</x:v>
      </x:c>
      <x:c r="E87" t="str">
        <x:v>Tiết kiệm</x:v>
      </x:c>
      <x:c r="F87" t="n">
        <x:v>3</x:v>
      </x:c>
      <x:c r="G87" s="14" t="str">
        <x:f>IF(E87="","",IFERROR(VLOOKUP(E87,'02_Bang_gia'!$A$2:$D$13,4,FALSE),"KHÔNG TÌM THẤY"))</x:f>
        <x:v>KHÔNG TÌM THẤY</x:v>
      </x:c>
      <x:c r="H87" s="14" t="str">
        <x:f>IF(ISNUMBER(G87),G87*F87,"")</x:f>
      </x:c>
      <x:c r="I87" t="str">
        <x:v>Đã giao</x:v>
      </x:c>
      <x:c r="J87" s="16" t="n">
        <x:v>46230</x:v>
      </x:c>
      <x:c r="K87" t="str"/>
    </x:row>
    <x:row r="88">
      <x:c r="A88" t="str">
        <x:v>FM20260700087</x:v>
      </x:c>
      <x:c r="B88" s="16" t="n">
        <x:v>46228</x:v>
      </x:c>
      <x:c r="C88" t="str">
        <x:v>FM-01-04</x:v>
      </x:c>
      <x:c r="D88" t="str">
        <x:v>Nội thành</x:v>
      </x:c>
      <x:c r="E88" t="str">
        <x:v>COD</x:v>
      </x:c>
      <x:c r="F88" t="n">
        <x:v>5</x:v>
      </x:c>
      <x:c r="G88" s="14" t="str">
        <x:f>IF(E88="","",IFERROR(VLOOKUP(E88,'02_Bang_gia'!$A$2:$D$13,4,FALSE),"KHÔNG TÌM THẤY"))</x:f>
        <x:v>KHÔNG TÌM THẤY</x:v>
      </x:c>
      <x:c r="H88" s="14" t="str">
        <x:f>IF(ISNUMBER(G88),G88*F88,"")</x:f>
      </x:c>
      <x:c r="I88" t="str">
        <x:v>Đã giao</x:v>
      </x:c>
      <x:c r="J88" s="16" t="n">
        <x:v>46230</x:v>
      </x:c>
      <x:c r="K88" t="str"/>
    </x:row>
    <x:row r="89">
      <x:c r="A89" t="str">
        <x:v>FM20260700088</x:v>
      </x:c>
      <x:c r="B89" s="16" t="n">
        <x:v>46229</x:v>
      </x:c>
      <x:c r="C89" t="str">
        <x:v>FM-03-03</x:v>
      </x:c>
      <x:c r="D89" t="str">
        <x:v>Liên tỉnh</x:v>
      </x:c>
      <x:c r="E89" t="str">
        <x:v>Hỏa tốc</x:v>
      </x:c>
      <x:c r="F89" t="n">
        <x:v>3</x:v>
      </x:c>
      <x:c r="G89" s="14" t="str">
        <x:f>IF(E89="","",IFERROR(VLOOKUP(E89,'02_Bang_gia'!$A$2:$D$13,4,FALSE),"KHÔNG TÌM THẤY"))</x:f>
        <x:v>KHÔNG TÌM THẤY</x:v>
      </x:c>
      <x:c r="H89" s="14" t="str">
        <x:f>IF(ISNUMBER(G89),G89*F89,"")</x:f>
      </x:c>
      <x:c r="I89" t="str">
        <x:v>Đang giao</x:v>
      </x:c>
      <x:c r="J89" s="16"/>
      <x:c r="K89" t="str"/>
    </x:row>
    <x:row r="90">
      <x:c r="A90" t="str">
        <x:v>FM20260700089</x:v>
      </x:c>
      <x:c r="B90" s="16" t="n">
        <x:v>46230</x:v>
      </x:c>
      <x:c r="C90" t="str">
        <x:v>FM-02-04</x:v>
      </x:c>
      <x:c r="D90" t="str">
        <x:v>Ngoại thành</x:v>
      </x:c>
      <x:c r="E90" t="str">
        <x:v>COD</x:v>
      </x:c>
      <x:c r="F90" t="n">
        <x:v>0.5</x:v>
      </x:c>
      <x:c r="G90" s="14" t="str">
        <x:f>IF(E90="","",IFERROR(VLOOKUP(E90,'02_Bang_gia'!$A$2:$D$13,4,FALSE),"KHÔNG TÌM THẤY"))</x:f>
        <x:v>KHÔNG TÌM THẤY</x:v>
      </x:c>
      <x:c r="H90" s="14" t="str">
        <x:f>IF(ISNUMBER(G90),G90*F90,"")</x:f>
      </x:c>
      <x:c r="I90" t="str">
        <x:v>Đã giao</x:v>
      </x:c>
      <x:c r="J90" s="16" t="n">
        <x:v>46231</x:v>
      </x:c>
      <x:c r="K90" t="str"/>
    </x:row>
    <x:row r="91">
      <x:c r="A91" t="str">
        <x:v>FM20260700090</x:v>
      </x:c>
      <x:c r="B91" s="16" t="n">
        <x:v>46231</x:v>
      </x:c>
      <x:c r="C91" t="str">
        <x:v>FM-03-03</x:v>
      </x:c>
      <x:c r="D91" t="str">
        <x:v>Liên tỉnh</x:v>
      </x:c>
      <x:c r="E91" t="str">
        <x:v>Hỏa tốc</x:v>
      </x:c>
      <x:c r="F91" t="n">
        <x:v>0.5</x:v>
      </x:c>
      <x:c r="G91" s="14" t="str">
        <x:f>IF(E91="","",IFERROR(VLOOKUP(E91,'02_Bang_gia'!$A$2:$D$13,4,FALSE),"KHÔNG TÌM THẤY"))</x:f>
        <x:v>KHÔNG TÌM THẤY</x:v>
      </x:c>
      <x:c r="H91" s="14" t="str">
        <x:f>IF(ISNUMBER(G91),G91*F91,"")</x:f>
      </x:c>
      <x:c r="I91" t="str">
        <x:v>Đã giao</x:v>
      </x:c>
      <x:c r="J91" s="16" t="n">
        <x:v>46234</x:v>
      </x:c>
      <x:c r="K91" t="str"/>
    </x:row>
    <x:row r="92">
      <x:c r="A92" t="str">
        <x:v>FM20260700091</x:v>
      </x:c>
      <x:c r="B92" s="16" t="n">
        <x:v>46232</x:v>
      </x:c>
      <x:c r="C92" t="str">
        <x:v>FM-01-01</x:v>
      </x:c>
      <x:c r="D92" t="str">
        <x:v>Nội thành</x:v>
      </x:c>
      <x:c r="E92" t="str">
        <x:v>Tiết kiệm</x:v>
      </x:c>
      <x:c r="F92" t="n">
        <x:v>5</x:v>
      </x:c>
      <x:c r="G92" s="14" t="str">
        <x:f>IF(E92="","",IFERROR(VLOOKUP(E92,'02_Bang_gia'!$A$2:$D$13,4,FALSE),"KHÔNG TÌM THẤY"))</x:f>
        <x:v>KHÔNG TÌM THẤY</x:v>
      </x:c>
      <x:c r="H92" s="14" t="str">
        <x:f>IF(ISNUMBER(G92),G92*F92,"")</x:f>
      </x:c>
      <x:c r="I92" t="str">
        <x:v>Đã giao</x:v>
      </x:c>
      <x:c r="J92" s="16" t="n">
        <x:v>46234</x:v>
      </x:c>
      <x:c r="K92" t="str"/>
    </x:row>
    <x:row r="93">
      <x:c r="A93" t="str">
        <x:v>FM20260700092</x:v>
      </x:c>
      <x:c r="B93" s="16" t="n">
        <x:v>46233</x:v>
      </x:c>
      <x:c r="C93" t="str">
        <x:v>FM-02-01</x:v>
      </x:c>
      <x:c r="D93" t="str">
        <x:v>Ngoại thành</x:v>
      </x:c>
      <x:c r="E93" t="str">
        <x:v>Tiết kiệm</x:v>
      </x:c>
      <x:c r="F93" t="n">
        <x:v>3</x:v>
      </x:c>
      <x:c r="G93" s="14" t="str">
        <x:f>IF(E93="","",IFERROR(VLOOKUP(E93,'02_Bang_gia'!$A$2:$D$13,4,FALSE),"KHÔNG TÌM THẤY"))</x:f>
        <x:v>KHÔNG TÌM THẤY</x:v>
      </x:c>
      <x:c r="H93" s="14" t="str">
        <x:f>IF(ISNUMBER(G93),G93*F93,"")</x:f>
      </x:c>
      <x:c r="I93" t="str">
        <x:v>Đã giao</x:v>
      </x:c>
      <x:c r="J93" s="16" t="n">
        <x:v>46237</x:v>
      </x:c>
      <x:c r="K93" t="str"/>
    </x:row>
    <x:row r="94">
      <x:c r="A94" t="str">
        <x:v>FM20260700093</x:v>
      </x:c>
      <x:c r="B94" s="16" t="n">
        <x:v>46234</x:v>
      </x:c>
      <x:c r="C94" t="str">
        <x:v>FM-03-04</x:v>
      </x:c>
      <x:c r="D94" t="str">
        <x:v>Liên tỉnh</x:v>
      </x:c>
      <x:c r="E94" t="str">
        <x:v>COD</x:v>
      </x:c>
      <x:c r="F94" t="n">
        <x:v>0.5</x:v>
      </x:c>
      <x:c r="G94" s="14" t="str">
        <x:f>IF(E94="","",IFERROR(VLOOKUP(E94,'02_Bang_gia'!$A$2:$D$13,4,FALSE),"KHÔNG TÌM THẤY"))</x:f>
        <x:v>KHÔNG TÌM THẤY</x:v>
      </x:c>
      <x:c r="H94" s="14" t="str">
        <x:f>IF(ISNUMBER(G94),G94*F94,"")</x:f>
      </x:c>
      <x:c r="I94" t="str">
        <x:v>Đã giao</x:v>
      </x:c>
      <x:c r="J94" s="16" t="n">
        <x:v>46235</x:v>
      </x:c>
      <x:c r="K94" t="str"/>
    </x:row>
    <x:row r="95">
      <x:c r="A95" t="str">
        <x:v>FM20260700094</x:v>
      </x:c>
      <x:c r="B95" s="16" t="n">
        <x:v>46204</x:v>
      </x:c>
      <x:c r="C95" t="str">
        <x:v>FM-01-02</x:v>
      </x:c>
      <x:c r="D95" t="str">
        <x:v>Nội thành</x:v>
      </x:c>
      <x:c r="E95" t="str">
        <x:v>Tiêu chuẩn</x:v>
      </x:c>
      <x:c r="F95" t="n">
        <x:v>5</x:v>
      </x:c>
      <x:c r="G95" s="14" t="str">
        <x:f>IF(E95="","",IFERROR(VLOOKUP(E95,'02_Bang_gia'!$A$2:$D$13,4,FALSE),"KHÔNG TÌM THẤY"))</x:f>
        <x:v>KHÔNG TÌM THẤY</x:v>
      </x:c>
      <x:c r="H95" s="14" t="str">
        <x:f>IF(ISNUMBER(G95),G95*F95,"")</x:f>
      </x:c>
      <x:c r="I95" t="str">
        <x:v>Giao thất bại</x:v>
      </x:c>
      <x:c r="J95" s="16"/>
      <x:c r="K95" t="str"/>
    </x:row>
    <x:row r="96">
      <x:c r="A96" t="str">
        <x:v>FM20260700095</x:v>
      </x:c>
      <x:c r="B96" s="16" t="n">
        <x:v>46205</x:v>
      </x:c>
      <x:c r="C96" t="str">
        <x:v>FM-01-03</x:v>
      </x:c>
      <x:c r="D96" t="str">
        <x:v>Nội thành</x:v>
      </x:c>
      <x:c r="E96" t="str">
        <x:v>Hỏa tốc</x:v>
      </x:c>
      <x:c r="F96" t="n">
        <x:v>3</x:v>
      </x:c>
      <x:c r="G96" s="14" t="str">
        <x:f>IF(E96="","",IFERROR(VLOOKUP(E96,'02_Bang_gia'!$A$2:$D$13,4,FALSE),"KHÔNG TÌM THẤY"))</x:f>
        <x:v>KHÔNG TÌM THẤY</x:v>
      </x:c>
      <x:c r="H96" s="14" t="str">
        <x:f>IF(ISNUMBER(G96),G96*F96,"")</x:f>
      </x:c>
      <x:c r="I96" t="str">
        <x:v>Đã giao</x:v>
      </x:c>
      <x:c r="J96" s="16" t="n">
        <x:v>46208</x:v>
      </x:c>
      <x:c r="K96" t="str"/>
    </x:row>
    <x:row r="97">
      <x:c r="A97" t="str">
        <x:v>FM20260700096</x:v>
      </x:c>
      <x:c r="B97" s="16" t="n">
        <x:v>46206</x:v>
      </x:c>
      <x:c r="C97" t="str">
        <x:v>FM-03-01</x:v>
      </x:c>
      <x:c r="D97" t="str">
        <x:v>Liên tỉnh</x:v>
      </x:c>
      <x:c r="E97" t="str">
        <x:v>Tiết kiệm</x:v>
      </x:c>
      <x:c r="F97" t="n">
        <x:v>0.5</x:v>
      </x:c>
      <x:c r="G97" s="14" t="str">
        <x:f>IF(E97="","",IFERROR(VLOOKUP(E97,'02_Bang_gia'!$A$2:$D$13,4,FALSE),"KHÔNG TÌM THẤY"))</x:f>
        <x:v>KHÔNG TÌM THẤY</x:v>
      </x:c>
      <x:c r="H97" s="14" t="str">
        <x:f>IF(ISNUMBER(G97),G97*F97,"")</x:f>
      </x:c>
      <x:c r="I97" t="str">
        <x:v>Đã giao</x:v>
      </x:c>
      <x:c r="J97" s="16" t="n">
        <x:v>46208</x:v>
      </x:c>
      <x:c r="K97" t="str"/>
    </x:row>
    <x:row r="98">
      <x:c r="A98" t="str">
        <x:v>FM20260700097</x:v>
      </x:c>
      <x:c r="B98" s="16" t="n">
        <x:v>46207</x:v>
      </x:c>
      <x:c r="C98" t="str">
        <x:v>FM-02-01</x:v>
      </x:c>
      <x:c r="D98" t="str">
        <x:v>Ngoại thành</x:v>
      </x:c>
      <x:c r="E98" t="str">
        <x:v>Tiết kiệm</x:v>
      </x:c>
      <x:c r="F98" t="n">
        <x:v>1.5</x:v>
      </x:c>
      <x:c r="G98" s="14" t="str">
        <x:f>IF(E98="","",IFERROR(VLOOKUP(E98,'02_Bang_gia'!$A$2:$D$13,4,FALSE),"KHÔNG TÌM THẤY"))</x:f>
        <x:v>KHÔNG TÌM THẤY</x:v>
      </x:c>
      <x:c r="H98" s="14" t="str">
        <x:f>IF(ISNUMBER(G98),G98*F98,"")</x:f>
      </x:c>
      <x:c r="I98" t="str">
        <x:v>Đã giao</x:v>
      </x:c>
      <x:c r="J98" s="16" t="n">
        <x:v>46208</x:v>
      </x:c>
      <x:c r="K98" t="str"/>
    </x:row>
    <x:row r="99">
      <x:c r="A99" t="str">
        <x:v>FM20260700098</x:v>
      </x:c>
      <x:c r="B99" s="16" t="n">
        <x:v>46208</x:v>
      </x:c>
      <x:c r="C99" t="str">
        <x:v>FM-01-04</x:v>
      </x:c>
      <x:c r="D99" t="str">
        <x:v>Nội thành</x:v>
      </x:c>
      <x:c r="E99" t="str">
        <x:v>COD</x:v>
      </x:c>
      <x:c r="F99" t="n">
        <x:v>1.5</x:v>
      </x:c>
      <x:c r="G99" s="14" t="str">
        <x:f>IF(E99="","",IFERROR(VLOOKUP(E99,'02_Bang_gia'!$A$2:$D$13,4,FALSE),"KHÔNG TÌM THẤY"))</x:f>
        <x:v>KHÔNG TÌM THẤY</x:v>
      </x:c>
      <x:c r="H99" s="14" t="str">
        <x:f>IF(ISNUMBER(G99),G99*F99,"")</x:f>
      </x:c>
      <x:c r="I99" t="str">
        <x:v>Đã giao</x:v>
      </x:c>
      <x:c r="J99" s="16" t="n">
        <x:v>46209</x:v>
      </x:c>
      <x:c r="K99" t="str"/>
    </x:row>
    <x:row r="100">
      <x:c r="A100" t="str">
        <x:v>FM20260700099</x:v>
      </x:c>
      <x:c r="B100" s="16" t="n">
        <x:v>46209</x:v>
      </x:c>
      <x:c r="C100" t="str">
        <x:v>FM-03-01</x:v>
      </x:c>
      <x:c r="D100" t="str">
        <x:v>Liên tỉnh</x:v>
      </x:c>
      <x:c r="E100" t="str">
        <x:v>Tiết kiệm</x:v>
      </x:c>
      <x:c r="F100" t="n">
        <x:v>2</x:v>
      </x:c>
      <x:c r="G100" s="14" t="str">
        <x:f>IF(E100="","",IFERROR(VLOOKUP(E100,'02_Bang_gia'!$A$2:$D$13,4,FALSE),"KHÔNG TÌM THẤY"))</x:f>
        <x:v>KHÔNG TÌM THẤY</x:v>
      </x:c>
      <x:c r="H100" s="14" t="str">
        <x:f>IF(ISNUMBER(G100),G100*F100,"")</x:f>
      </x:c>
      <x:c r="I100" t="str">
        <x:v>Đang giao</x:v>
      </x:c>
      <x:c r="J100" s="16"/>
      <x:c r="K100" t="str"/>
    </x:row>
    <x:row r="101">
      <x:c r="A101" t="str">
        <x:v>FM20260700100</x:v>
      </x:c>
      <x:c r="B101" s="16" t="n">
        <x:v>46210</x:v>
      </x:c>
      <x:c r="C101" t="str">
        <x:v>FM-03-02</x:v>
      </x:c>
      <x:c r="D101" t="str">
        <x:v>Liên tỉnh</x:v>
      </x:c>
      <x:c r="E101" t="str">
        <x:v>Tiêu chuẩn</x:v>
      </x:c>
      <x:c r="F101" t="n">
        <x:v>1</x:v>
      </x:c>
      <x:c r="G101" s="14" t="str">
        <x:f>IF(E101="","",IFERROR(VLOOKUP(E101,'02_Bang_gia'!$A$2:$D$13,4,FALSE),"KHÔNG TÌM THẤY"))</x:f>
        <x:v>KHÔNG TÌM THẤY</x:v>
      </x:c>
      <x:c r="H101" s="14" t="str">
        <x:f>IF(ISNUMBER(G101),G101*F101,"")</x:f>
      </x:c>
      <x:c r="I101" t="str">
        <x:v>Đã giao</x:v>
      </x:c>
      <x:c r="J101" s="16" t="n">
        <x:v>46212</x:v>
      </x:c>
      <x:c r="K101" t="str"/>
    </x:row>
    <x:row r="102">
      <x:c r="A102" t="str">
        <x:v>FM20260700101</x:v>
      </x:c>
      <x:c r="B102" s="16" t="n">
        <x:v>46211</x:v>
      </x:c>
      <x:c r="C102" t="str">
        <x:v>FM-01-03</x:v>
      </x:c>
      <x:c r="D102" t="str">
        <x:v>Nội thành</x:v>
      </x:c>
      <x:c r="E102" t="str">
        <x:v>Hỏa tốc</x:v>
      </x:c>
      <x:c r="F102" t="n">
        <x:v>0.5</x:v>
      </x:c>
      <x:c r="G102" s="14" t="str">
        <x:f>IF(E102="","",IFERROR(VLOOKUP(E102,'02_Bang_gia'!$A$2:$D$13,4,FALSE),"KHÔNG TÌM THẤY"))</x:f>
        <x:v>KHÔNG TÌM THẤY</x:v>
      </x:c>
      <x:c r="H102" s="14" t="str">
        <x:f>IF(ISNUMBER(G102),G102*F102,"")</x:f>
      </x:c>
      <x:c r="I102" t="str">
        <x:v>Đang giao</x:v>
      </x:c>
      <x:c r="J102" s="16"/>
      <x:c r="K102" t="str"/>
    </x:row>
    <x:row r="103">
      <x:c r="A103" t="str">
        <x:v>FM20260700102</x:v>
      </x:c>
      <x:c r="B103" s="16" t="n">
        <x:v>46212</x:v>
      </x:c>
      <x:c r="C103" t="str">
        <x:v>FM-01-03</x:v>
      </x:c>
      <x:c r="D103" t="str">
        <x:v>Nội thành</x:v>
      </x:c>
      <x:c r="E103" t="str">
        <x:v>Hỏa tốc</x:v>
      </x:c>
      <x:c r="F103" t="n">
        <x:v>2</x:v>
      </x:c>
      <x:c r="G103" s="14" t="str">
        <x:f>IF(E103="","",IFERROR(VLOOKUP(E103,'02_Bang_gia'!$A$2:$D$13,4,FALSE),"KHÔNG TÌM THẤY"))</x:f>
        <x:v>KHÔNG TÌM THẤY</x:v>
      </x:c>
      <x:c r="H103" s="14" t="str">
        <x:f>IF(ISNUMBER(G103),G103*F103,"")</x:f>
      </x:c>
      <x:c r="I103" t="str">
        <x:v>Đã giao</x:v>
      </x:c>
      <x:c r="J103" s="16" t="n">
        <x:v>46215</x:v>
      </x:c>
      <x:c r="K103" t="str"/>
    </x:row>
    <x:row r="104">
      <x:c r="A104" t="str">
        <x:v>FM20260700103</x:v>
      </x:c>
      <x:c r="B104" s="16" t="n">
        <x:v>46213</x:v>
      </x:c>
      <x:c r="C104" t="str">
        <x:v>FM-03-03</x:v>
      </x:c>
      <x:c r="D104" t="str">
        <x:v>Liên tỉnh</x:v>
      </x:c>
      <x:c r="E104" t="str">
        <x:v>Hỏa tốc</x:v>
      </x:c>
      <x:c r="F104" t="n">
        <x:v>1</x:v>
      </x:c>
      <x:c r="G104" s="14" t="str">
        <x:f>IF(E104="","",IFERROR(VLOOKUP(E104,'02_Bang_gia'!$A$2:$D$13,4,FALSE),"KHÔNG TÌM THẤY"))</x:f>
        <x:v>KHÔNG TÌM THẤY</x:v>
      </x:c>
      <x:c r="H104" s="14" t="str">
        <x:f>IF(ISNUMBER(G104),G104*F104,"")</x:f>
      </x:c>
      <x:c r="I104" t="str">
        <x:v>Đang giao</x:v>
      </x:c>
      <x:c r="J104" s="16"/>
      <x:c r="K104" t="str"/>
    </x:row>
    <x:row r="105">
      <x:c r="A105" t="str">
        <x:v>FM20260700104</x:v>
      </x:c>
      <x:c r="B105" s="16" t="n">
        <x:v>46214</x:v>
      </x:c>
      <x:c r="C105" t="str">
        <x:v>FM-02-01</x:v>
      </x:c>
      <x:c r="D105" t="str">
        <x:v>Ngoại thành</x:v>
      </x:c>
      <x:c r="E105" t="str">
        <x:v>Tiết kiệm</x:v>
      </x:c>
      <x:c r="F105" t="n">
        <x:v>2</x:v>
      </x:c>
      <x:c r="G105" s="14" t="str">
        <x:f>IF(E105="","",IFERROR(VLOOKUP(E105,'02_Bang_gia'!$A$2:$D$13,4,FALSE),"KHÔNG TÌM THẤY"))</x:f>
        <x:v>KHÔNG TÌM THẤY</x:v>
      </x:c>
      <x:c r="H105" s="14" t="str">
        <x:f>IF(ISNUMBER(G105),G105*F105,"")</x:f>
      </x:c>
      <x:c r="I105" t="str">
        <x:v>Đã giao</x:v>
      </x:c>
      <x:c r="J105" s="16" t="n">
        <x:v>46215</x:v>
      </x:c>
      <x:c r="K105" t="str"/>
    </x:row>
    <x:row r="106">
      <x:c r="A106" t="str">
        <x:v>FM20260700105</x:v>
      </x:c>
      <x:c r="B106" s="16" t="n">
        <x:v>46215</x:v>
      </x:c>
      <x:c r="C106" t="str">
        <x:v>FM-01-01</x:v>
      </x:c>
      <x:c r="D106" t="str">
        <x:v>Nội thành</x:v>
      </x:c>
      <x:c r="E106" t="str">
        <x:v>Tiết kiệm</x:v>
      </x:c>
      <x:c r="F106" t="n">
        <x:v>1</x:v>
      </x:c>
      <x:c r="G106" s="14" t="str">
        <x:f>IF(E106="","",IFERROR(VLOOKUP(E106,'02_Bang_gia'!$A$2:$D$13,4,FALSE),"KHÔNG TÌM THẤY"))</x:f>
        <x:v>KHÔNG TÌM THẤY</x:v>
      </x:c>
      <x:c r="H106" s="14" t="str">
        <x:f>IF(ISNUMBER(G106),G106*F106,"")</x:f>
      </x:c>
      <x:c r="I106" t="str">
        <x:v>Đang giao</x:v>
      </x:c>
      <x:c r="J106" s="16"/>
      <x:c r="K106" t="str"/>
    </x:row>
    <x:row r="107">
      <x:c r="A107" t="str">
        <x:v>FM20260700106</x:v>
      </x:c>
      <x:c r="B107" s="16" t="n">
        <x:v>46216</x:v>
      </x:c>
      <x:c r="C107" t="str">
        <x:v>FM-01-04</x:v>
      </x:c>
      <x:c r="D107" t="str">
        <x:v>Nội thành</x:v>
      </x:c>
      <x:c r="E107" t="str">
        <x:v>COD</x:v>
      </x:c>
      <x:c r="F107" t="n">
        <x:v>2</x:v>
      </x:c>
      <x:c r="G107" s="14" t="str">
        <x:f>IF(E107="","",IFERROR(VLOOKUP(E107,'02_Bang_gia'!$A$2:$D$13,4,FALSE),"KHÔNG TÌM THẤY"))</x:f>
        <x:v>KHÔNG TÌM THẤY</x:v>
      </x:c>
      <x:c r="H107" s="14" t="str">
        <x:f>IF(ISNUMBER(G107),G107*F107,"")</x:f>
      </x:c>
      <x:c r="I107" t="str">
        <x:v>Đang giao</x:v>
      </x:c>
      <x:c r="J107" s="16"/>
      <x:c r="K107" t="str"/>
    </x:row>
    <x:row r="108">
      <x:c r="A108" t="str">
        <x:v>FM20260700107</x:v>
      </x:c>
      <x:c r="B108" s="16" t="n">
        <x:v>46217</x:v>
      </x:c>
      <x:c r="C108" t="str">
        <x:v>FM-02-02</x:v>
      </x:c>
      <x:c r="D108" t="str">
        <x:v>Ngoại thành</x:v>
      </x:c>
      <x:c r="E108" t="str">
        <x:v>Tiêu chuẩn</x:v>
      </x:c>
      <x:c r="F108" t="n">
        <x:v>1</x:v>
      </x:c>
      <x:c r="G108" s="14" t="str">
        <x:f>IF(E108="","",IFERROR(VLOOKUP(E108,'02_Bang_gia'!$A$2:$D$13,4,FALSE),"KHÔNG TÌM THẤY"))</x:f>
        <x:v>KHÔNG TÌM THẤY</x:v>
      </x:c>
      <x:c r="H108" s="14" t="str">
        <x:f>IF(ISNUMBER(G108),G108*F108,"")</x:f>
      </x:c>
      <x:c r="I108" t="str">
        <x:v>Đã giao</x:v>
      </x:c>
      <x:c r="J108" s="16" t="n">
        <x:v>46219</x:v>
      </x:c>
      <x:c r="K108" t="str"/>
    </x:row>
    <x:row r="109">
      <x:c r="A109" t="str">
        <x:v>FM20260700108</x:v>
      </x:c>
      <x:c r="B109" s="16" t="n">
        <x:v>46218</x:v>
      </x:c>
      <x:c r="C109" t="str">
        <x:v>FM-01-01</x:v>
      </x:c>
      <x:c r="D109" t="str">
        <x:v>Nội thành</x:v>
      </x:c>
      <x:c r="E109" t="str">
        <x:v>Tiết kiệm</x:v>
      </x:c>
      <x:c r="F109" t="n">
        <x:v>1.5</x:v>
      </x:c>
      <x:c r="G109" s="14" t="str">
        <x:f>IF(E109="","",IFERROR(VLOOKUP(E109,'02_Bang_gia'!$A$2:$D$13,4,FALSE),"KHÔNG TÌM THẤY"))</x:f>
        <x:v>KHÔNG TÌM THẤY</x:v>
      </x:c>
      <x:c r="H109" s="14" t="str">
        <x:f>IF(ISNUMBER(G109),G109*F109,"")</x:f>
      </x:c>
      <x:c r="I109" t="str">
        <x:v>Đã giao</x:v>
      </x:c>
      <x:c r="J109" s="16" t="n">
        <x:v>46222</x:v>
      </x:c>
      <x:c r="K109" t="str"/>
    </x:row>
    <x:row r="110">
      <x:c r="A110" t="str">
        <x:v>FM20260700109</x:v>
      </x:c>
      <x:c r="B110" s="16" t="n">
        <x:v>46219</x:v>
      </x:c>
      <x:c r="C110" t="str">
        <x:v>FM-02-01</x:v>
      </x:c>
      <x:c r="D110" t="str">
        <x:v>Ngoại thành</x:v>
      </x:c>
      <x:c r="E110" t="str">
        <x:v>Tiết kiệm</x:v>
      </x:c>
      <x:c r="F110" t="n">
        <x:v>1.5</x:v>
      </x:c>
      <x:c r="G110" s="14" t="str">
        <x:f>IF(E110="","",IFERROR(VLOOKUP(E110,'02_Bang_gia'!$A$2:$D$13,4,FALSE),"KHÔNG TÌM THẤY"))</x:f>
        <x:v>KHÔNG TÌM THẤY</x:v>
      </x:c>
      <x:c r="H110" s="14" t="str">
        <x:f>IF(ISNUMBER(G110),G110*F110,"")</x:f>
      </x:c>
      <x:c r="I110" t="str">
        <x:v>Đang giao</x:v>
      </x:c>
      <x:c r="J110" s="16"/>
      <x:c r="K110" t="str"/>
    </x:row>
    <x:row r="111">
      <x:c r="A111" t="str">
        <x:v>FM20260700110</x:v>
      </x:c>
      <x:c r="B111" s="16" t="n">
        <x:v>46220</x:v>
      </x:c>
      <x:c r="C111" t="str">
        <x:v>FM-02-02</x:v>
      </x:c>
      <x:c r="D111" t="str">
        <x:v>Ngoại thành</x:v>
      </x:c>
      <x:c r="E111" t="str">
        <x:v>Tiêu chuẩn</x:v>
      </x:c>
      <x:c r="F111" t="n">
        <x:v>5</x:v>
      </x:c>
      <x:c r="G111" s="14" t="str">
        <x:f>IF(E111="","",IFERROR(VLOOKUP(E111,'02_Bang_gia'!$A$2:$D$13,4,FALSE),"KHÔNG TÌM THẤY"))</x:f>
        <x:v>KHÔNG TÌM THẤY</x:v>
      </x:c>
      <x:c r="H111" s="14" t="str">
        <x:f>IF(ISNUMBER(G111),G111*F111,"")</x:f>
      </x:c>
      <x:c r="I111" t="str">
        <x:v>Đã giao</x:v>
      </x:c>
      <x:c r="J111" s="16" t="n">
        <x:v>46224</x:v>
      </x:c>
      <x:c r="K111" t="str"/>
    </x:row>
    <x:row r="112">
      <x:c r="A112" t="str">
        <x:v>FM20260700111</x:v>
      </x:c>
      <x:c r="B112" s="16" t="n">
        <x:v>46221</x:v>
      </x:c>
      <x:c r="C112" t="str">
        <x:v>FM-03-01</x:v>
      </x:c>
      <x:c r="D112" t="str">
        <x:v>Liên tỉnh</x:v>
      </x:c>
      <x:c r="E112" t="str">
        <x:v>Tiết kiệm</x:v>
      </x:c>
      <x:c r="F112" t="n">
        <x:v>0.5</x:v>
      </x:c>
      <x:c r="G112" s="14" t="str">
        <x:f>IF(E112="","",IFERROR(VLOOKUP(E112,'02_Bang_gia'!$A$2:$D$13,4,FALSE),"KHÔNG TÌM THẤY"))</x:f>
        <x:v>KHÔNG TÌM THẤY</x:v>
      </x:c>
      <x:c r="H112" s="14" t="str">
        <x:f>IF(ISNUMBER(G112),G112*F112,"")</x:f>
      </x:c>
      <x:c r="I112" t="str">
        <x:v>Đã giao</x:v>
      </x:c>
      <x:c r="J112" s="16" t="n">
        <x:v>46222</x:v>
      </x:c>
      <x:c r="K112" t="str"/>
    </x:row>
    <x:row r="113">
      <x:c r="A113" t="str">
        <x:v>FM20260700112</x:v>
      </x:c>
      <x:c r="B113" s="16" t="n">
        <x:v>46222</x:v>
      </x:c>
      <x:c r="C113" t="str">
        <x:v>FM-02-01</x:v>
      </x:c>
      <x:c r="D113" t="str">
        <x:v>Ngoại thành</x:v>
      </x:c>
      <x:c r="E113" t="str">
        <x:v>Tiết kiệm</x:v>
      </x:c>
      <x:c r="F113" t="n">
        <x:v>0.5</x:v>
      </x:c>
      <x:c r="G113" s="14" t="str">
        <x:f>IF(E113="","",IFERROR(VLOOKUP(E113,'02_Bang_gia'!$A$2:$D$13,4,FALSE),"KHÔNG TÌM THẤY"))</x:f>
        <x:v>KHÔNG TÌM THẤY</x:v>
      </x:c>
      <x:c r="H113" s="14" t="str">
        <x:f>IF(ISNUMBER(G113),G113*F113,"")</x:f>
      </x:c>
      <x:c r="I113" t="str">
        <x:v>Đã giao</x:v>
      </x:c>
      <x:c r="J113" s="16" t="n">
        <x:v>46225</x:v>
      </x:c>
      <x:c r="K113" t="str"/>
    </x:row>
    <x:row r="114">
      <x:c r="A114" t="str">
        <x:v>FM20260700113</x:v>
      </x:c>
      <x:c r="B114" s="16" t="n">
        <x:v>46223</x:v>
      </x:c>
      <x:c r="C114" t="str">
        <x:v>FM-01-02</x:v>
      </x:c>
      <x:c r="D114" t="str">
        <x:v>Nội thành</x:v>
      </x:c>
      <x:c r="E114" t="str">
        <x:v>Tiêu chuẩn</x:v>
      </x:c>
      <x:c r="F114" t="n">
        <x:v>5</x:v>
      </x:c>
      <x:c r="G114" s="14" t="str">
        <x:f>IF(E114="","",IFERROR(VLOOKUP(E114,'02_Bang_gia'!$A$2:$D$13,4,FALSE),"KHÔNG TÌM THẤY"))</x:f>
        <x:v>KHÔNG TÌM THẤY</x:v>
      </x:c>
      <x:c r="H114" s="14" t="str">
        <x:f>IF(ISNUMBER(G114),G114*F114,"")</x:f>
      </x:c>
      <x:c r="I114" t="str">
        <x:v>Đã giao</x:v>
      </x:c>
      <x:c r="J114" s="16" t="n">
        <x:v>46226</x:v>
      </x:c>
      <x:c r="K114" t="str"/>
    </x:row>
    <x:row r="115">
      <x:c r="A115" t="str">
        <x:v>FM20260700114</x:v>
      </x:c>
      <x:c r="B115" s="16" t="n">
        <x:v>46224</x:v>
      </x:c>
      <x:c r="C115" t="str">
        <x:v>FM-02-02</x:v>
      </x:c>
      <x:c r="D115" t="str">
        <x:v>Ngoại thành</x:v>
      </x:c>
      <x:c r="E115" t="str">
        <x:v>Tiêu chuẩn</x:v>
      </x:c>
      <x:c r="F115" t="n">
        <x:v>2</x:v>
      </x:c>
      <x:c r="G115" s="14" t="str">
        <x:f>IF(E115="","",IFERROR(VLOOKUP(E115,'02_Bang_gia'!$A$2:$D$13,4,FALSE),"KHÔNG TÌM THẤY"))</x:f>
        <x:v>KHÔNG TÌM THẤY</x:v>
      </x:c>
      <x:c r="H115" s="14" t="str">
        <x:f>IF(ISNUMBER(G115),G115*F115,"")</x:f>
      </x:c>
      <x:c r="I115" t="str">
        <x:v>Đã giao</x:v>
      </x:c>
      <x:c r="J115" s="16" t="n">
        <x:v>46225</x:v>
      </x:c>
      <x:c r="K115" t="str"/>
    </x:row>
    <x:row r="116">
      <x:c r="A116" t="str">
        <x:v>FM20260700115</x:v>
      </x:c>
      <x:c r="B116" s="16" t="n">
        <x:v>46225</x:v>
      </x:c>
      <x:c r="C116" t="str">
        <x:v>FM-03-02</x:v>
      </x:c>
      <x:c r="D116" t="str">
        <x:v>Liên tỉnh</x:v>
      </x:c>
      <x:c r="E116" t="str">
        <x:v>Tiêu chuẩn</x:v>
      </x:c>
      <x:c r="F116" t="n">
        <x:v>5</x:v>
      </x:c>
      <x:c r="G116" s="14" t="str">
        <x:f>IF(E116="","",IFERROR(VLOOKUP(E116,'02_Bang_gia'!$A$2:$D$13,4,FALSE),"KHÔNG TÌM THẤY"))</x:f>
        <x:v>KHÔNG TÌM THẤY</x:v>
      </x:c>
      <x:c r="H116" s="14" t="str">
        <x:f>IF(ISNUMBER(G116),G116*F116,"")</x:f>
      </x:c>
      <x:c r="I116" t="str">
        <x:v>Đã giao</x:v>
      </x:c>
      <x:c r="J116" s="16" t="n">
        <x:v>46226</x:v>
      </x:c>
      <x:c r="K116" t="str"/>
    </x:row>
    <x:row r="117">
      <x:c r="A117" t="str">
        <x:v>FM20260700116</x:v>
      </x:c>
      <x:c r="B117" s="16" t="n">
        <x:v>46226</x:v>
      </x:c>
      <x:c r="C117" t="str">
        <x:v>FM-02-03</x:v>
      </x:c>
      <x:c r="D117" t="str">
        <x:v>Ngoại thành</x:v>
      </x:c>
      <x:c r="E117" t="str">
        <x:v>Hỏa tốc</x:v>
      </x:c>
      <x:c r="F117" t="n">
        <x:v>1.5</x:v>
      </x:c>
      <x:c r="G117" s="14" t="str">
        <x:f>IF(E117="","",IFERROR(VLOOKUP(E117,'02_Bang_gia'!$A$2:$D$13,4,FALSE),"KHÔNG TÌM THẤY"))</x:f>
        <x:v>KHÔNG TÌM THẤY</x:v>
      </x:c>
      <x:c r="H117" s="14" t="str">
        <x:f>IF(ISNUMBER(G117),G117*F117,"")</x:f>
      </x:c>
      <x:c r="I117" t="str">
        <x:v>Đã giao</x:v>
      </x:c>
      <x:c r="J117" s="16" t="n">
        <x:v>46228</x:v>
      </x:c>
      <x:c r="K117" t="str"/>
    </x:row>
    <x:row r="118">
      <x:c r="A118" t="str">
        <x:v>FM20260700117</x:v>
      </x:c>
      <x:c r="B118" s="16" t="n">
        <x:v>46227</x:v>
      </x:c>
      <x:c r="C118" t="str">
        <x:v>FM-02-03</x:v>
      </x:c>
      <x:c r="D118" t="str">
        <x:v>Ngoại thành</x:v>
      </x:c>
      <x:c r="E118" t="str">
        <x:v>Hỏa tốc</x:v>
      </x:c>
      <x:c r="F118" t="n">
        <x:v>3</x:v>
      </x:c>
      <x:c r="G118" s="14" t="str">
        <x:f>IF(E118="","",IFERROR(VLOOKUP(E118,'02_Bang_gia'!$A$2:$D$13,4,FALSE),"KHÔNG TÌM THẤY"))</x:f>
        <x:v>KHÔNG TÌM THẤY</x:v>
      </x:c>
      <x:c r="H118" s="14" t="str">
        <x:f>IF(ISNUMBER(G118),G118*F118,"")</x:f>
      </x:c>
      <x:c r="I118" t="str">
        <x:v>Đã giao</x:v>
      </x:c>
      <x:c r="J118" s="16" t="n">
        <x:v>46230</x:v>
      </x:c>
      <x:c r="K118" t="str"/>
    </x:row>
    <x:row r="119">
      <x:c r="A119" t="str">
        <x:v>FM20260700118</x:v>
      </x:c>
      <x:c r="B119" s="16" t="n">
        <x:v>46228</x:v>
      </x:c>
      <x:c r="C119" t="str">
        <x:v>FM-02-02</x:v>
      </x:c>
      <x:c r="D119" t="str">
        <x:v>Ngoại thành</x:v>
      </x:c>
      <x:c r="E119" t="str">
        <x:v>Tiêu chuẩn</x:v>
      </x:c>
      <x:c r="F119" t="n">
        <x:v>5</x:v>
      </x:c>
      <x:c r="G119" s="14" t="str">
        <x:f>IF(E119="","",IFERROR(VLOOKUP(E119,'02_Bang_gia'!$A$2:$D$13,4,FALSE),"KHÔNG TÌM THẤY"))</x:f>
        <x:v>KHÔNG TÌM THẤY</x:v>
      </x:c>
      <x:c r="H119" s="14" t="str">
        <x:f>IF(ISNUMBER(G119),G119*F119,"")</x:f>
      </x:c>
      <x:c r="I119" t="str">
        <x:v>Đã giao</x:v>
      </x:c>
      <x:c r="J119" s="16" t="n">
        <x:v>46229</x:v>
      </x:c>
      <x:c r="K119" t="str"/>
    </x:row>
    <x:row r="120">
      <x:c r="A120" t="str">
        <x:v>FM20260700119</x:v>
      </x:c>
      <x:c r="B120" s="16" t="n">
        <x:v>46229</x:v>
      </x:c>
      <x:c r="C120" t="str">
        <x:v>FM-02-01</x:v>
      </x:c>
      <x:c r="D120" t="str">
        <x:v>Ngoại thành</x:v>
      </x:c>
      <x:c r="E120" t="str">
        <x:v>Tiết kiệm</x:v>
      </x:c>
      <x:c r="F120" t="n">
        <x:v>1.5</x:v>
      </x:c>
      <x:c r="G120" s="14" t="str">
        <x:f>IF(E120="","",IFERROR(VLOOKUP(E120,'02_Bang_gia'!$A$2:$D$13,4,FALSE),"KHÔNG TÌM THẤY"))</x:f>
        <x:v>KHÔNG TÌM THẤY</x:v>
      </x:c>
      <x:c r="H120" s="14" t="str">
        <x:f>IF(ISNUMBER(G120),G120*F120,"")</x:f>
      </x:c>
      <x:c r="I120" t="str">
        <x:v>Đã giao</x:v>
      </x:c>
      <x:c r="J120" s="16" t="n">
        <x:v>46233</x:v>
      </x:c>
      <x:c r="K120" t="str"/>
    </x:row>
    <x:row r="121">
      <x:c r="A121" t="str">
        <x:v>FM20260700120</x:v>
      </x:c>
      <x:c r="B121" s="16" t="n">
        <x:v>46230</x:v>
      </x:c>
      <x:c r="C121" t="str">
        <x:v>FM-02-03</x:v>
      </x:c>
      <x:c r="D121" t="str">
        <x:v>Ngoại thành</x:v>
      </x:c>
      <x:c r="E121" t="str">
        <x:v>Hỏa tốc</x:v>
      </x:c>
      <x:c r="F121" t="n">
        <x:v>1</x:v>
      </x:c>
      <x:c r="G121" s="14" t="str">
        <x:f>IF(E121="","",IFERROR(VLOOKUP(E121,'02_Bang_gia'!$A$2:$D$13,4,FALSE),"KHÔNG TÌM THẤY"))</x:f>
        <x:v>KHÔNG TÌM THẤY</x:v>
      </x:c>
      <x:c r="H121" s="14" t="str">
        <x:f>IF(ISNUMBER(G121),G121*F121,"")</x:f>
      </x:c>
      <x:c r="I121" t="str">
        <x:v>Đã giao</x:v>
      </x:c>
      <x:c r="J121" s="16" t="n">
        <x:v>46232</x:v>
      </x:c>
      <x:c r="K121" t="str"/>
    </x:row>
    <x:row r="122">
      <x:c r="A122" t="str">
        <x:v>FM20260700121</x:v>
      </x:c>
      <x:c r="B122" s="16" t="n">
        <x:v>46231</x:v>
      </x:c>
      <x:c r="C122" t="str">
        <x:v>FM-02-03</x:v>
      </x:c>
      <x:c r="D122" t="str">
        <x:v>Ngoại thành</x:v>
      </x:c>
      <x:c r="E122" t="str">
        <x:v>Hỏa tốc</x:v>
      </x:c>
      <x:c r="F122" t="n">
        <x:v>5</x:v>
      </x:c>
      <x:c r="G122" s="14" t="str">
        <x:f>IF(E122="","",IFERROR(VLOOKUP(E122,'02_Bang_gia'!$A$2:$D$13,4,FALSE),"KHÔNG TÌM THẤY"))</x:f>
        <x:v>KHÔNG TÌM THẤY</x:v>
      </x:c>
      <x:c r="H122" s="14" t="str">
        <x:f>IF(ISNUMBER(G122),G122*F122,"")</x:f>
      </x:c>
      <x:c r="I122" t="str">
        <x:v>Đã giao</x:v>
      </x:c>
      <x:c r="J122" s="16" t="n">
        <x:v>46235</x:v>
      </x:c>
      <x:c r="K122" t="str"/>
    </x:row>
    <x:row r="123">
      <x:c r="A123" t="str">
        <x:v>FM20260700122</x:v>
      </x:c>
      <x:c r="B123" s="16" t="n">
        <x:v>46232</x:v>
      </x:c>
      <x:c r="C123" t="str">
        <x:v>FM-03-04</x:v>
      </x:c>
      <x:c r="D123" t="str">
        <x:v>Liên tỉnh</x:v>
      </x:c>
      <x:c r="E123" t="str">
        <x:v>COD</x:v>
      </x:c>
      <x:c r="F123" t="n">
        <x:v>3</x:v>
      </x:c>
      <x:c r="G123" s="14" t="str">
        <x:f>IF(E123="","",IFERROR(VLOOKUP(E123,'02_Bang_gia'!$A$2:$D$13,4,FALSE),"KHÔNG TÌM THẤY"))</x:f>
        <x:v>KHÔNG TÌM THẤY</x:v>
      </x:c>
      <x:c r="H123" s="14" t="str">
        <x:f>IF(ISNUMBER(G123),G123*F123,"")</x:f>
      </x:c>
      <x:c r="I123" t="str">
        <x:v>Đang giao</x:v>
      </x:c>
      <x:c r="J123" s="16"/>
      <x:c r="K123" t="str"/>
    </x:row>
    <x:row r="124">
      <x:c r="A124" t="str">
        <x:v>FM20260700123</x:v>
      </x:c>
      <x:c r="B124" s="16" t="n">
        <x:v>46233</x:v>
      </x:c>
      <x:c r="C124" t="str">
        <x:v>FM-03-02</x:v>
      </x:c>
      <x:c r="D124" t="str">
        <x:v>Liên tỉnh</x:v>
      </x:c>
      <x:c r="E124" t="str">
        <x:v>Tiêu chuẩn</x:v>
      </x:c>
      <x:c r="F124" t="n">
        <x:v>1.5</x:v>
      </x:c>
      <x:c r="G124" s="14" t="str">
        <x:f>IF(E124="","",IFERROR(VLOOKUP(E124,'02_Bang_gia'!$A$2:$D$13,4,FALSE),"KHÔNG TÌM THẤY"))</x:f>
        <x:v>KHÔNG TÌM THẤY</x:v>
      </x:c>
      <x:c r="H124" s="14" t="str">
        <x:f>IF(ISNUMBER(G124),G124*F124,"")</x:f>
      </x:c>
      <x:c r="I124" t="str">
        <x:v>Đã giao</x:v>
      </x:c>
      <x:c r="J124" s="16" t="n">
        <x:v>46234</x:v>
      </x:c>
      <x:c r="K124" t="str"/>
    </x:row>
    <x:row r="125">
      <x:c r="A125" t="str">
        <x:v>FM20260700124</x:v>
      </x:c>
      <x:c r="B125" s="16" t="n">
        <x:v>46234</x:v>
      </x:c>
      <x:c r="C125" t="str">
        <x:v>FM-02-01</x:v>
      </x:c>
      <x:c r="D125" t="str">
        <x:v>Ngoại thành</x:v>
      </x:c>
      <x:c r="E125" t="str">
        <x:v>Tiết kiệm</x:v>
      </x:c>
      <x:c r="F125" t="n">
        <x:v>2</x:v>
      </x:c>
      <x:c r="G125" s="14" t="str">
        <x:f>IF(E125="","",IFERROR(VLOOKUP(E125,'02_Bang_gia'!$A$2:$D$13,4,FALSE),"KHÔNG TÌM THẤY"))</x:f>
        <x:v>KHÔNG TÌM THẤY</x:v>
      </x:c>
      <x:c r="H125" s="14" t="str">
        <x:f>IF(ISNUMBER(G125),G125*F125,"")</x:f>
      </x:c>
      <x:c r="I125" t="str">
        <x:v>Đã giao</x:v>
      </x:c>
      <x:c r="J125" s="16" t="n">
        <x:v>46237</x:v>
      </x:c>
      <x:c r="K125" t="str"/>
    </x:row>
    <x:row r="126">
      <x:c r="A126" t="str">
        <x:v>FM20260700125</x:v>
      </x:c>
      <x:c r="B126" s="16" t="n">
        <x:v>46204</x:v>
      </x:c>
      <x:c r="C126" t="str">
        <x:v>FM-02-04</x:v>
      </x:c>
      <x:c r="D126" t="str">
        <x:v>Ngoại thành</x:v>
      </x:c>
      <x:c r="E126" t="str">
        <x:v>COD</x:v>
      </x:c>
      <x:c r="F126" t="n">
        <x:v>3</x:v>
      </x:c>
      <x:c r="G126" s="14" t="str">
        <x:f>IF(E126="","",IFERROR(VLOOKUP(E126,'02_Bang_gia'!$A$2:$D$13,4,FALSE),"KHÔNG TÌM THẤY"))</x:f>
        <x:v>KHÔNG TÌM THẤY</x:v>
      </x:c>
      <x:c r="H126" s="14" t="str">
        <x:f>IF(ISNUMBER(G126),G126*F126,"")</x:f>
      </x:c>
      <x:c r="I126" t="str">
        <x:v>Đã giao</x:v>
      </x:c>
      <x:c r="J126" s="16" t="n">
        <x:v>46206</x:v>
      </x:c>
      <x:c r="K126" t="str"/>
    </x:row>
    <x:row r="127">
      <x:c r="A127" t="str">
        <x:v>FM20260700126</x:v>
      </x:c>
      <x:c r="B127" s="16" t="n">
        <x:v>46205</x:v>
      </x:c>
      <x:c r="C127" t="str">
        <x:v>FM-02-04</x:v>
      </x:c>
      <x:c r="D127" t="str">
        <x:v>Ngoại thành</x:v>
      </x:c>
      <x:c r="E127" t="str">
        <x:v>COD</x:v>
      </x:c>
      <x:c r="F127" t="n">
        <x:v>5</x:v>
      </x:c>
      <x:c r="G127" s="14" t="str">
        <x:f>IF(E127="","",IFERROR(VLOOKUP(E127,'02_Bang_gia'!$A$2:$D$13,4,FALSE),"KHÔNG TÌM THẤY"))</x:f>
        <x:v>KHÔNG TÌM THẤY</x:v>
      </x:c>
      <x:c r="H127" s="14" t="str">
        <x:f>IF(ISNUMBER(G127),G127*F127,"")</x:f>
      </x:c>
      <x:c r="I127" t="str">
        <x:v>Đang giao</x:v>
      </x:c>
      <x:c r="J127" s="16"/>
      <x:c r="K127" t="str"/>
    </x:row>
    <x:row r="128">
      <x:c r="A128" t="str">
        <x:v>FM20260700127</x:v>
      </x:c>
      <x:c r="B128" s="16" t="n">
        <x:v>46206</x:v>
      </x:c>
      <x:c r="C128" t="str">
        <x:v>FM-01-03</x:v>
      </x:c>
      <x:c r="D128" t="str">
        <x:v>Nội thành</x:v>
      </x:c>
      <x:c r="E128" t="str">
        <x:v>Hỏa tốc</x:v>
      </x:c>
      <x:c r="F128" t="n">
        <x:v>3</x:v>
      </x:c>
      <x:c r="G128" s="14" t="str">
        <x:f>IF(E128="","",IFERROR(VLOOKUP(E128,'02_Bang_gia'!$A$2:$D$13,4,FALSE),"KHÔNG TÌM THẤY"))</x:f>
        <x:v>KHÔNG TÌM THẤY</x:v>
      </x:c>
      <x:c r="H128" s="14" t="str">
        <x:f>IF(ISNUMBER(G128),G128*F128,"")</x:f>
      </x:c>
      <x:c r="I128" t="str">
        <x:v>Đã giao</x:v>
      </x:c>
      <x:c r="J128" s="16" t="n">
        <x:v>46209</x:v>
      </x:c>
      <x:c r="K128" t="str"/>
    </x:row>
    <x:row r="129">
      <x:c r="A129" t="str">
        <x:v>FM20260700128</x:v>
      </x:c>
      <x:c r="B129" s="16" t="n">
        <x:v>46207</x:v>
      </x:c>
      <x:c r="C129" t="str">
        <x:v>FM-03-03</x:v>
      </x:c>
      <x:c r="D129" t="str">
        <x:v>Liên tỉnh</x:v>
      </x:c>
      <x:c r="E129" t="str">
        <x:v>Hỏa tốc</x:v>
      </x:c>
      <x:c r="F129" t="n">
        <x:v>0.5</x:v>
      </x:c>
      <x:c r="G129" s="14" t="str">
        <x:f>IF(E129="","",IFERROR(VLOOKUP(E129,'02_Bang_gia'!$A$2:$D$13,4,FALSE),"KHÔNG TÌM THẤY"))</x:f>
        <x:v>KHÔNG TÌM THẤY</x:v>
      </x:c>
      <x:c r="H129" s="14" t="str">
        <x:f>IF(ISNUMBER(G129),G129*F129,"")</x:f>
      </x:c>
      <x:c r="I129" t="str">
        <x:v>Đã giao</x:v>
      </x:c>
      <x:c r="J129" s="16" t="n">
        <x:v>46210</x:v>
      </x:c>
      <x:c r="K129" t="str"/>
    </x:row>
    <x:row r="130">
      <x:c r="A130" t="str">
        <x:v>FM20260700129</x:v>
      </x:c>
      <x:c r="B130" s="16" t="n">
        <x:v>46208</x:v>
      </x:c>
      <x:c r="C130" t="str">
        <x:v>FM-01-04</x:v>
      </x:c>
      <x:c r="D130" t="str">
        <x:v>Nội thành</x:v>
      </x:c>
      <x:c r="E130" t="str">
        <x:v>COD</x:v>
      </x:c>
      <x:c r="F130" t="n">
        <x:v>1</x:v>
      </x:c>
      <x:c r="G130" s="14" t="str">
        <x:f>IF(E130="","",IFERROR(VLOOKUP(E130,'02_Bang_gia'!$A$2:$D$13,4,FALSE),"KHÔNG TÌM THẤY"))</x:f>
        <x:v>KHÔNG TÌM THẤY</x:v>
      </x:c>
      <x:c r="H130" s="14" t="str">
        <x:f>IF(ISNUMBER(G130),G130*F130,"")</x:f>
      </x:c>
      <x:c r="I130" t="str">
        <x:v>Đã giao</x:v>
      </x:c>
      <x:c r="J130" s="16" t="n">
        <x:v>46210</x:v>
      </x:c>
      <x:c r="K130" t="str"/>
    </x:row>
    <x:row r="131">
      <x:c r="A131" t="str">
        <x:v>FM20260700130</x:v>
      </x:c>
      <x:c r="B131" s="16" t="n">
        <x:v>46209</x:v>
      </x:c>
      <x:c r="C131" t="str">
        <x:v>FM-01-03</x:v>
      </x:c>
      <x:c r="D131" t="str">
        <x:v>Nội thành</x:v>
      </x:c>
      <x:c r="E131" t="str">
        <x:v>Hỏa tốc</x:v>
      </x:c>
      <x:c r="F131" t="n">
        <x:v>2</x:v>
      </x:c>
      <x:c r="G131" s="14" t="str">
        <x:f>IF(E131="","",IFERROR(VLOOKUP(E131,'02_Bang_gia'!$A$2:$D$13,4,FALSE),"KHÔNG TÌM THẤY"))</x:f>
        <x:v>KHÔNG TÌM THẤY</x:v>
      </x:c>
      <x:c r="H131" s="14" t="str">
        <x:f>IF(ISNUMBER(G131),G131*F131,"")</x:f>
      </x:c>
      <x:c r="I131" t="str">
        <x:v>Đã giao</x:v>
      </x:c>
      <x:c r="J131" s="16" t="n">
        <x:v>46211</x:v>
      </x:c>
      <x:c r="K131" t="str"/>
    </x:row>
    <x:row r="132">
      <x:c r="A132" t="str">
        <x:v>FM20260700131</x:v>
      </x:c>
      <x:c r="B132" s="16" t="n">
        <x:v>46210</x:v>
      </x:c>
      <x:c r="C132" t="str">
        <x:v>FM-03-02</x:v>
      </x:c>
      <x:c r="D132" t="str">
        <x:v>Liên tỉnh</x:v>
      </x:c>
      <x:c r="E132" t="str">
        <x:v>Tiêu chuẩn</x:v>
      </x:c>
      <x:c r="F132" t="n">
        <x:v>0.5</x:v>
      </x:c>
      <x:c r="G132" s="14" t="str">
        <x:f>IF(E132="","",IFERROR(VLOOKUP(E132,'02_Bang_gia'!$A$2:$D$13,4,FALSE),"KHÔNG TÌM THẤY"))</x:f>
        <x:v>KHÔNG TÌM THẤY</x:v>
      </x:c>
      <x:c r="H132" s="14" t="str">
        <x:f>IF(ISNUMBER(G132),G132*F132,"")</x:f>
      </x:c>
      <x:c r="I132" t="str">
        <x:v>Đang giao</x:v>
      </x:c>
      <x:c r="J132" s="16"/>
      <x:c r="K132" t="str"/>
    </x:row>
    <x:row r="133">
      <x:c r="A133" t="str">
        <x:v>FM20260700132</x:v>
      </x:c>
      <x:c r="B133" s="16" t="n">
        <x:v>46211</x:v>
      </x:c>
      <x:c r="C133" t="str">
        <x:v>FM-02-04</x:v>
      </x:c>
      <x:c r="D133" t="str">
        <x:v>Ngoại thành</x:v>
      </x:c>
      <x:c r="E133" t="str">
        <x:v>COD</x:v>
      </x:c>
      <x:c r="F133" t="n">
        <x:v>5</x:v>
      </x:c>
      <x:c r="G133" s="14" t="str">
        <x:f>IF(E133="","",IFERROR(VLOOKUP(E133,'02_Bang_gia'!$A$2:$D$13,4,FALSE),"KHÔNG TÌM THẤY"))</x:f>
        <x:v>KHÔNG TÌM THẤY</x:v>
      </x:c>
      <x:c r="H133" s="14" t="str">
        <x:f>IF(ISNUMBER(G133),G133*F133,"")</x:f>
      </x:c>
      <x:c r="I133" t="str">
        <x:v>Đã giao</x:v>
      </x:c>
      <x:c r="J133" s="16" t="n">
        <x:v>46213</x:v>
      </x:c>
      <x:c r="K133" t="str"/>
    </x:row>
    <x:row r="134">
      <x:c r="A134" t="str">
        <x:v>FM20260700133</x:v>
      </x:c>
      <x:c r="B134" s="16" t="n">
        <x:v>46212</x:v>
      </x:c>
      <x:c r="C134" t="str">
        <x:v>FM-03-04</x:v>
      </x:c>
      <x:c r="D134" t="str">
        <x:v>Liên tỉnh</x:v>
      </x:c>
      <x:c r="E134" t="str">
        <x:v>COD</x:v>
      </x:c>
      <x:c r="F134" t="n">
        <x:v>1</x:v>
      </x:c>
      <x:c r="G134" s="14" t="str">
        <x:f>IF(E134="","",IFERROR(VLOOKUP(E134,'02_Bang_gia'!$A$2:$D$13,4,FALSE),"KHÔNG TÌM THẤY"))</x:f>
        <x:v>KHÔNG TÌM THẤY</x:v>
      </x:c>
      <x:c r="H134" s="14" t="str">
        <x:f>IF(ISNUMBER(G134),G134*F134,"")</x:f>
      </x:c>
      <x:c r="I134" t="str">
        <x:v>Đã giao</x:v>
      </x:c>
      <x:c r="J134" s="16" t="n">
        <x:v>46216</x:v>
      </x:c>
      <x:c r="K134" t="str"/>
    </x:row>
    <x:row r="135">
      <x:c r="A135" t="str">
        <x:v>FM20260700134</x:v>
      </x:c>
      <x:c r="B135" s="16" t="n">
        <x:v>46213</x:v>
      </x:c>
      <x:c r="C135" t="str">
        <x:v>FM-01-03</x:v>
      </x:c>
      <x:c r="D135" t="str">
        <x:v>Nội thành</x:v>
      </x:c>
      <x:c r="E135" t="str">
        <x:v>Hỏa tốc</x:v>
      </x:c>
      <x:c r="F135" t="n">
        <x:v>0.5</x:v>
      </x:c>
      <x:c r="G135" s="14" t="str">
        <x:f>IF(E135="","",IFERROR(VLOOKUP(E135,'02_Bang_gia'!$A$2:$D$13,4,FALSE),"KHÔNG TÌM THẤY"))</x:f>
        <x:v>KHÔNG TÌM THẤY</x:v>
      </x:c>
      <x:c r="H135" s="14" t="str">
        <x:f>IF(ISNUMBER(G135),G135*F135,"")</x:f>
      </x:c>
      <x:c r="I135" t="str">
        <x:v>Đã giao</x:v>
      </x:c>
      <x:c r="J135" s="16" t="n">
        <x:v>46214</x:v>
      </x:c>
      <x:c r="K135" t="str"/>
    </x:row>
    <x:row r="136">
      <x:c r="A136" t="str">
        <x:v>FM20260700135</x:v>
      </x:c>
      <x:c r="B136" s="16" t="n">
        <x:v>46214</x:v>
      </x:c>
      <x:c r="C136" t="str">
        <x:v>FM-02-03</x:v>
      </x:c>
      <x:c r="D136" t="str">
        <x:v>Ngoại thành</x:v>
      </x:c>
      <x:c r="E136" t="str">
        <x:v>Hỏa tốc</x:v>
      </x:c>
      <x:c r="F136" t="n">
        <x:v>0.5</x:v>
      </x:c>
      <x:c r="G136" s="14" t="str">
        <x:f>IF(E136="","",IFERROR(VLOOKUP(E136,'02_Bang_gia'!$A$2:$D$13,4,FALSE),"KHÔNG TÌM THẤY"))</x:f>
        <x:v>KHÔNG TÌM THẤY</x:v>
      </x:c>
      <x:c r="H136" s="14" t="str">
        <x:f>IF(ISNUMBER(G136),G136*F136,"")</x:f>
      </x:c>
      <x:c r="I136" t="str">
        <x:v>Đã giao</x:v>
      </x:c>
      <x:c r="J136" s="16" t="n">
        <x:v>46218</x:v>
      </x:c>
      <x:c r="K136" t="str"/>
    </x:row>
    <x:row r="137">
      <x:c r="A137" t="str">
        <x:v>FM20260700136</x:v>
      </x:c>
      <x:c r="B137" s="16" t="n">
        <x:v>46215</x:v>
      </x:c>
      <x:c r="C137" t="str">
        <x:v>FM-03-01</x:v>
      </x:c>
      <x:c r="D137" t="str">
        <x:v>Liên tỉnh</x:v>
      </x:c>
      <x:c r="E137" t="str">
        <x:v>Tiết kiệm</x:v>
      </x:c>
      <x:c r="F137" t="n">
        <x:v>2</x:v>
      </x:c>
      <x:c r="G137" s="14" t="str">
        <x:f>IF(E137="","",IFERROR(VLOOKUP(E137,'02_Bang_gia'!$A$2:$D$13,4,FALSE),"KHÔNG TÌM THẤY"))</x:f>
        <x:v>KHÔNG TÌM THẤY</x:v>
      </x:c>
      <x:c r="H137" s="14" t="str">
        <x:f>IF(ISNUMBER(G137),G137*F137,"")</x:f>
      </x:c>
      <x:c r="I137" t="str">
        <x:v>Đã giao</x:v>
      </x:c>
      <x:c r="J137" s="16" t="n">
        <x:v>46216</x:v>
      </x:c>
      <x:c r="K137" t="str"/>
    </x:row>
    <x:row r="138">
      <x:c r="A138" t="str">
        <x:v>FM20260700137</x:v>
      </x:c>
      <x:c r="B138" s="16" t="n">
        <x:v>46216</x:v>
      </x:c>
      <x:c r="C138" t="str">
        <x:v>FM-01-03</x:v>
      </x:c>
      <x:c r="D138" t="str">
        <x:v>Nội thành</x:v>
      </x:c>
      <x:c r="E138" t="str">
        <x:v>Hỏa tốc</x:v>
      </x:c>
      <x:c r="F138" t="n">
        <x:v>5</x:v>
      </x:c>
      <x:c r="G138" s="14" t="str">
        <x:f>IF(E138="","",IFERROR(VLOOKUP(E138,'02_Bang_gia'!$A$2:$D$13,4,FALSE),"KHÔNG TÌM THẤY"))</x:f>
        <x:v>KHÔNG TÌM THẤY</x:v>
      </x:c>
      <x:c r="H138" s="14" t="str">
        <x:f>IF(ISNUMBER(G138),G138*F138,"")</x:f>
      </x:c>
      <x:c r="I138" t="str">
        <x:v>Đang giao</x:v>
      </x:c>
      <x:c r="J138" s="16"/>
      <x:c r="K138" t="str"/>
    </x:row>
    <x:row r="139">
      <x:c r="A139" t="str">
        <x:v>FM20260700138</x:v>
      </x:c>
      <x:c r="B139" s="16" t="n">
        <x:v>46217</x:v>
      </x:c>
      <x:c r="C139" t="str">
        <x:v>FM-03-01</x:v>
      </x:c>
      <x:c r="D139" t="str">
        <x:v>Liên tỉnh</x:v>
      </x:c>
      <x:c r="E139" t="str">
        <x:v>Tiết kiệm</x:v>
      </x:c>
      <x:c r="F139" t="n">
        <x:v>3</x:v>
      </x:c>
      <x:c r="G139" s="14" t="str">
        <x:f>IF(E139="","",IFERROR(VLOOKUP(E139,'02_Bang_gia'!$A$2:$D$13,4,FALSE),"KHÔNG TÌM THẤY"))</x:f>
        <x:v>KHÔNG TÌM THẤY</x:v>
      </x:c>
      <x:c r="H139" s="14" t="str">
        <x:f>IF(ISNUMBER(G139),G139*F139,"")</x:f>
      </x:c>
      <x:c r="I139" t="str">
        <x:v>Giao thất bại</x:v>
      </x:c>
      <x:c r="J139" s="16"/>
      <x:c r="K139" t="str"/>
    </x:row>
    <x:row r="140">
      <x:c r="A140" t="str">
        <x:v>FM20260700139</x:v>
      </x:c>
      <x:c r="B140" s="16" t="n">
        <x:v>46218</x:v>
      </x:c>
      <x:c r="C140" t="str">
        <x:v>FM-02-02</x:v>
      </x:c>
      <x:c r="D140" t="str">
        <x:v>Ngoại thành</x:v>
      </x:c>
      <x:c r="E140" t="str">
        <x:v>Tiêu chuẩn</x:v>
      </x:c>
      <x:c r="F140" t="n">
        <x:v>2</x:v>
      </x:c>
      <x:c r="G140" s="14" t="str">
        <x:f>IF(E140="","",IFERROR(VLOOKUP(E140,'02_Bang_gia'!$A$2:$D$13,4,FALSE),"KHÔNG TÌM THẤY"))</x:f>
        <x:v>KHÔNG TÌM THẤY</x:v>
      </x:c>
      <x:c r="H140" s="14" t="str">
        <x:f>IF(ISNUMBER(G140),G140*F140,"")</x:f>
      </x:c>
      <x:c r="I140" t="str">
        <x:v>Giao thất bại</x:v>
      </x:c>
      <x:c r="J140" s="16"/>
      <x:c r="K140" t="str"/>
    </x:row>
    <x:row r="141">
      <x:c r="A141" t="str">
        <x:v>FM20260700140</x:v>
      </x:c>
      <x:c r="B141" s="16" t="n">
        <x:v>46219</x:v>
      </x:c>
      <x:c r="C141" t="str">
        <x:v>FM-03-02</x:v>
      </x:c>
      <x:c r="D141" t="str">
        <x:v>Liên tỉnh</x:v>
      </x:c>
      <x:c r="E141" t="str">
        <x:v>Tiêu chuẩn</x:v>
      </x:c>
      <x:c r="F141" t="n">
        <x:v>3</x:v>
      </x:c>
      <x:c r="G141" s="14" t="str">
        <x:f>IF(E141="","",IFERROR(VLOOKUP(E141,'02_Bang_gia'!$A$2:$D$13,4,FALSE),"KHÔNG TÌM THẤY"))</x:f>
        <x:v>KHÔNG TÌM THẤY</x:v>
      </x:c>
      <x:c r="H141" s="14" t="str">
        <x:f>IF(ISNUMBER(G141),G141*F141,"")</x:f>
      </x:c>
      <x:c r="I141" t="str">
        <x:v>Đang giao</x:v>
      </x:c>
      <x:c r="J141" s="16"/>
      <x:c r="K141" t="str"/>
    </x:row>
    <x:row r="142">
      <x:c r="A142" t="str">
        <x:v>FM20260700141</x:v>
      </x:c>
      <x:c r="B142" s="16" t="n">
        <x:v>46220</x:v>
      </x:c>
      <x:c r="C142" t="str">
        <x:v>FM-02-03</x:v>
      </x:c>
      <x:c r="D142" t="str">
        <x:v>Ngoại thành</x:v>
      </x:c>
      <x:c r="E142" t="str">
        <x:v>Hỏa tốc</x:v>
      </x:c>
      <x:c r="F142" t="n">
        <x:v>3</x:v>
      </x:c>
      <x:c r="G142" s="14" t="str">
        <x:f>IF(E142="","",IFERROR(VLOOKUP(E142,'02_Bang_gia'!$A$2:$D$13,4,FALSE),"KHÔNG TÌM THẤY"))</x:f>
        <x:v>KHÔNG TÌM THẤY</x:v>
      </x:c>
      <x:c r="H142" s="14" t="str">
        <x:f>IF(ISNUMBER(G142),G142*F142,"")</x:f>
      </x:c>
      <x:c r="I142" t="str">
        <x:v>Đang giao</x:v>
      </x:c>
      <x:c r="J142" s="16"/>
      <x:c r="K142" t="str"/>
    </x:row>
    <x:row r="143">
      <x:c r="A143" t="str">
        <x:v>FM20260700142</x:v>
      </x:c>
      <x:c r="B143" s="16" t="n">
        <x:v>46221</x:v>
      </x:c>
      <x:c r="C143" t="str">
        <x:v>FM-02-04</x:v>
      </x:c>
      <x:c r="D143" t="str">
        <x:v>Ngoại thành</x:v>
      </x:c>
      <x:c r="E143" t="str">
        <x:v>COD</x:v>
      </x:c>
      <x:c r="F143" t="n">
        <x:v>5</x:v>
      </x:c>
      <x:c r="G143" s="14" t="str">
        <x:f>IF(E143="","",IFERROR(VLOOKUP(E143,'02_Bang_gia'!$A$2:$D$13,4,FALSE),"KHÔNG TÌM THẤY"))</x:f>
        <x:v>KHÔNG TÌM THẤY</x:v>
      </x:c>
      <x:c r="H143" s="14" t="str">
        <x:f>IF(ISNUMBER(G143),G143*F143,"")</x:f>
      </x:c>
      <x:c r="I143" t="str">
        <x:v>Đang giao</x:v>
      </x:c>
      <x:c r="J143" s="16"/>
      <x:c r="K143" t="str"/>
    </x:row>
    <x:row r="144">
      <x:c r="A144" t="str">
        <x:v>FM20260700143</x:v>
      </x:c>
      <x:c r="B144" s="16" t="n">
        <x:v>46222</x:v>
      </x:c>
      <x:c r="C144" t="str">
        <x:v>FM-02-04</x:v>
      </x:c>
      <x:c r="D144" t="str">
        <x:v>Ngoại thành</x:v>
      </x:c>
      <x:c r="E144" t="str">
        <x:v>COD</x:v>
      </x:c>
      <x:c r="F144" t="n">
        <x:v>5</x:v>
      </x:c>
      <x:c r="G144" s="14" t="str">
        <x:f>IF(E144="","",IFERROR(VLOOKUP(E144,'02_Bang_gia'!$A$2:$D$13,4,FALSE),"KHÔNG TÌM THẤY"))</x:f>
        <x:v>KHÔNG TÌM THẤY</x:v>
      </x:c>
      <x:c r="H144" s="14" t="str">
        <x:f>IF(ISNUMBER(G144),G144*F144,"")</x:f>
      </x:c>
      <x:c r="I144" t="str">
        <x:v>Đã giao</x:v>
      </x:c>
      <x:c r="J144" s="16" t="n">
        <x:v>46224</x:v>
      </x:c>
      <x:c r="K144" t="str"/>
    </x:row>
    <x:row r="145">
      <x:c r="A145" t="str">
        <x:v>FM20260700144</x:v>
      </x:c>
      <x:c r="B145" s="16" t="n">
        <x:v>46223</x:v>
      </x:c>
      <x:c r="C145" t="str">
        <x:v>FM-02-01</x:v>
      </x:c>
      <x:c r="D145" t="str">
        <x:v>Ngoại thành</x:v>
      </x:c>
      <x:c r="E145" t="str">
        <x:v>Tiết kiệm</x:v>
      </x:c>
      <x:c r="F145" t="n">
        <x:v>5</x:v>
      </x:c>
      <x:c r="G145" s="14" t="str">
        <x:f>IF(E145="","",IFERROR(VLOOKUP(E145,'02_Bang_gia'!$A$2:$D$13,4,FALSE),"KHÔNG TÌM THẤY"))</x:f>
        <x:v>KHÔNG TÌM THẤY</x:v>
      </x:c>
      <x:c r="H145" s="14" t="str">
        <x:f>IF(ISNUMBER(G145),G145*F145,"")</x:f>
      </x:c>
      <x:c r="I145" t="str">
        <x:v>Đã giao</x:v>
      </x:c>
      <x:c r="J145" s="16" t="n">
        <x:v>46227</x:v>
      </x:c>
      <x:c r="K145" t="str"/>
    </x:row>
    <x:row r="146">
      <x:c r="A146" t="str">
        <x:v>FM20260700145</x:v>
      </x:c>
      <x:c r="B146" s="16" t="n">
        <x:v>46224</x:v>
      </x:c>
      <x:c r="C146" t="str">
        <x:v>FM-01-04</x:v>
      </x:c>
      <x:c r="D146" t="str">
        <x:v>Nội thành</x:v>
      </x:c>
      <x:c r="E146" t="str">
        <x:v>COD</x:v>
      </x:c>
      <x:c r="F146" t="n">
        <x:v>5</x:v>
      </x:c>
      <x:c r="G146" s="14" t="str">
        <x:f>IF(E146="","",IFERROR(VLOOKUP(E146,'02_Bang_gia'!$A$2:$D$13,4,FALSE),"KHÔNG TÌM THẤY"))</x:f>
        <x:v>KHÔNG TÌM THẤY</x:v>
      </x:c>
      <x:c r="H146" s="14" t="str">
        <x:f>IF(ISNUMBER(G146),G146*F146,"")</x:f>
      </x:c>
      <x:c r="I146" t="str">
        <x:v>Đã giao</x:v>
      </x:c>
      <x:c r="J146" s="16" t="n">
        <x:v>46225</x:v>
      </x:c>
      <x:c r="K146" t="str"/>
    </x:row>
    <x:row r="147">
      <x:c r="A147" t="str">
        <x:v>FM20260700146</x:v>
      </x:c>
      <x:c r="B147" s="16" t="n">
        <x:v>46225</x:v>
      </x:c>
      <x:c r="C147" t="str">
        <x:v>FM-02-01</x:v>
      </x:c>
      <x:c r="D147" t="str">
        <x:v>Ngoại thành</x:v>
      </x:c>
      <x:c r="E147" t="str">
        <x:v>Tiết kiệm</x:v>
      </x:c>
      <x:c r="F147" t="n">
        <x:v>1.5</x:v>
      </x:c>
      <x:c r="G147" s="14" t="str">
        <x:f>IF(E147="","",IFERROR(VLOOKUP(E147,'02_Bang_gia'!$A$2:$D$13,4,FALSE),"KHÔNG TÌM THẤY"))</x:f>
        <x:v>KHÔNG TÌM THẤY</x:v>
      </x:c>
      <x:c r="H147" s="14" t="str">
        <x:f>IF(ISNUMBER(G147),G147*F147,"")</x:f>
      </x:c>
      <x:c r="I147" t="str">
        <x:v>Đã giao</x:v>
      </x:c>
      <x:c r="J147" s="16" t="n">
        <x:v>46228</x:v>
      </x:c>
      <x:c r="K147" t="str"/>
    </x:row>
    <x:row r="148">
      <x:c r="A148" t="str">
        <x:v>FM20260700147</x:v>
      </x:c>
      <x:c r="B148" s="16" t="n">
        <x:v>46226</x:v>
      </x:c>
      <x:c r="C148" t="str">
        <x:v>FM-03-01</x:v>
      </x:c>
      <x:c r="D148" t="str">
        <x:v>Liên tỉnh</x:v>
      </x:c>
      <x:c r="E148" t="str">
        <x:v>Tiết kiệm</x:v>
      </x:c>
      <x:c r="F148" t="n">
        <x:v>1</x:v>
      </x:c>
      <x:c r="G148" s="14" t="str">
        <x:f>IF(E148="","",IFERROR(VLOOKUP(E148,'02_Bang_gia'!$A$2:$D$13,4,FALSE),"KHÔNG TÌM THẤY"))</x:f>
        <x:v>KHÔNG TÌM THẤY</x:v>
      </x:c>
      <x:c r="H148" s="14" t="str">
        <x:f>IF(ISNUMBER(G148),G148*F148,"")</x:f>
      </x:c>
      <x:c r="I148" t="str">
        <x:v>Đã giao</x:v>
      </x:c>
      <x:c r="J148" s="16" t="n">
        <x:v>46228</x:v>
      </x:c>
      <x:c r="K148" t="str"/>
    </x:row>
    <x:row r="149">
      <x:c r="A149" t="str">
        <x:v>FM20260700148</x:v>
      </x:c>
      <x:c r="B149" s="16" t="n">
        <x:v>46227</x:v>
      </x:c>
      <x:c r="C149" t="str">
        <x:v>FM-02-03</x:v>
      </x:c>
      <x:c r="D149" t="str">
        <x:v>Ngoại thành</x:v>
      </x:c>
      <x:c r="E149" t="str">
        <x:v>Hỏa tốc</x:v>
      </x:c>
      <x:c r="F149" t="n">
        <x:v>0.5</x:v>
      </x:c>
      <x:c r="G149" s="14" t="str">
        <x:f>IF(E149="","",IFERROR(VLOOKUP(E149,'02_Bang_gia'!$A$2:$D$13,4,FALSE),"KHÔNG TÌM THẤY"))</x:f>
        <x:v>KHÔNG TÌM THẤY</x:v>
      </x:c>
      <x:c r="H149" s="14" t="str">
        <x:f>IF(ISNUMBER(G149),G149*F149,"")</x:f>
      </x:c>
      <x:c r="I149" t="str">
        <x:v>Đã giao</x:v>
      </x:c>
      <x:c r="J149" s="16" t="n">
        <x:v>46229</x:v>
      </x:c>
      <x:c r="K149" t="str"/>
    </x:row>
    <x:row r="150">
      <x:c r="A150" t="str">
        <x:v>FM20260700149</x:v>
      </x:c>
      <x:c r="B150" s="16" t="n">
        <x:v>46228</x:v>
      </x:c>
      <x:c r="C150" t="str">
        <x:v>FM-02-03</x:v>
      </x:c>
      <x:c r="D150" t="str">
        <x:v>Ngoại thành</x:v>
      </x:c>
      <x:c r="E150" t="str">
        <x:v>Hỏa tốc</x:v>
      </x:c>
      <x:c r="F150" t="n">
        <x:v>2</x:v>
      </x:c>
      <x:c r="G150" s="14" t="str">
        <x:f>IF(E150="","",IFERROR(VLOOKUP(E150,'02_Bang_gia'!$A$2:$D$13,4,FALSE),"KHÔNG TÌM THẤY"))</x:f>
        <x:v>KHÔNG TÌM THẤY</x:v>
      </x:c>
      <x:c r="H150" s="14" t="str">
        <x:f>IF(ISNUMBER(G150),G150*F150,"")</x:f>
      </x:c>
      <x:c r="I150" t="str">
        <x:v>Đã giao</x:v>
      </x:c>
      <x:c r="J150" s="16" t="n">
        <x:v>46232</x:v>
      </x:c>
      <x:c r="K150" t="str"/>
    </x:row>
    <x:row r="151">
      <x:c r="A151" t="str">
        <x:v>FM20260700150</x:v>
      </x:c>
      <x:c r="B151" s="16" t="n">
        <x:v>46229</x:v>
      </x:c>
      <x:c r="C151" t="str">
        <x:v>FM-01-01</x:v>
      </x:c>
      <x:c r="D151" t="str">
        <x:v>Nội thành</x:v>
      </x:c>
      <x:c r="E151" t="str">
        <x:v>Tiết kiệm</x:v>
      </x:c>
      <x:c r="F151" t="n">
        <x:v>2</x:v>
      </x:c>
      <x:c r="G151" s="14" t="str">
        <x:f>IF(E151="","",IFERROR(VLOOKUP(E151,'02_Bang_gia'!$A$2:$D$13,4,FALSE),"KHÔNG TÌM THẤY"))</x:f>
        <x:v>KHÔNG TÌM THẤY</x:v>
      </x:c>
      <x:c r="H151" s="14" t="str">
        <x:f>IF(ISNUMBER(G151),G151*F151,"")</x:f>
      </x:c>
      <x:c r="I151" t="str">
        <x:v>Đã giao</x:v>
      </x:c>
      <x:c r="J151" s="16" t="n">
        <x:v>46233</x:v>
      </x:c>
      <x:c r="K151" t="str"/>
    </x:row>
    <x:row r="152">
      <x:c r="A152" t="str">
        <x:v>FM20260700151</x:v>
      </x:c>
      <x:c r="B152" s="16" t="n">
        <x:v>46230</x:v>
      </x:c>
      <x:c r="C152" t="str">
        <x:v>FM-03-02</x:v>
      </x:c>
      <x:c r="D152" t="str">
        <x:v>Liên tỉnh</x:v>
      </x:c>
      <x:c r="E152" t="str">
        <x:v>Tiêu chuẩn</x:v>
      </x:c>
      <x:c r="F152" t="n">
        <x:v>0.5</x:v>
      </x:c>
      <x:c r="G152" s="14" t="str">
        <x:f>IF(E152="","",IFERROR(VLOOKUP(E152,'02_Bang_gia'!$A$2:$D$13,4,FALSE),"KHÔNG TÌM THẤY"))</x:f>
        <x:v>KHÔNG TÌM THẤY</x:v>
      </x:c>
      <x:c r="H152" s="14" t="str">
        <x:f>IF(ISNUMBER(G152),G152*F152,"")</x:f>
      </x:c>
      <x:c r="I152" t="str">
        <x:v>Giao thất bại</x:v>
      </x:c>
      <x:c r="J152" s="16"/>
      <x:c r="K152" t="str"/>
    </x:row>
    <x:row r="153">
      <x:c r="A153" t="str">
        <x:v>FM20260700152</x:v>
      </x:c>
      <x:c r="B153" s="16" t="n">
        <x:v>46231</x:v>
      </x:c>
      <x:c r="C153" t="str">
        <x:v>FM-03-02</x:v>
      </x:c>
      <x:c r="D153" t="str">
        <x:v>Liên tỉnh</x:v>
      </x:c>
      <x:c r="E153" t="str">
        <x:v>Tiêu chuẩn</x:v>
      </x:c>
      <x:c r="F153" t="n">
        <x:v>1.5</x:v>
      </x:c>
      <x:c r="G153" s="14" t="str">
        <x:f>IF(E153="","",IFERROR(VLOOKUP(E153,'02_Bang_gia'!$A$2:$D$13,4,FALSE),"KHÔNG TÌM THẤY"))</x:f>
        <x:v>KHÔNG TÌM THẤY</x:v>
      </x:c>
      <x:c r="H153" s="14" t="str">
        <x:f>IF(ISNUMBER(G153),G153*F153,"")</x:f>
      </x:c>
      <x:c r="I153" t="str">
        <x:v>Đã giao</x:v>
      </x:c>
      <x:c r="J153" s="16" t="n">
        <x:v>46232</x:v>
      </x:c>
      <x:c r="K153" t="str"/>
    </x:row>
    <x:row r="154">
      <x:c r="A154" t="str">
        <x:v>FM20260700153</x:v>
      </x:c>
      <x:c r="B154" s="16" t="n">
        <x:v>46232</x:v>
      </x:c>
      <x:c r="C154" t="str">
        <x:v>FM-02-01</x:v>
      </x:c>
      <x:c r="D154" t="str">
        <x:v>Ngoại thành</x:v>
      </x:c>
      <x:c r="E154" t="str">
        <x:v>Tiết kiệm</x:v>
      </x:c>
      <x:c r="F154" t="n">
        <x:v>3</x:v>
      </x:c>
      <x:c r="G154" s="14" t="str">
        <x:f>IF(E154="","",IFERROR(VLOOKUP(E154,'02_Bang_gia'!$A$2:$D$13,4,FALSE),"KHÔNG TÌM THẤY"))</x:f>
        <x:v>KHÔNG TÌM THẤY</x:v>
      </x:c>
      <x:c r="H154" s="14" t="str">
        <x:f>IF(ISNUMBER(G154),G154*F154,"")</x:f>
      </x:c>
      <x:c r="I154" t="str">
        <x:v>Đã giao</x:v>
      </x:c>
      <x:c r="J154" s="16" t="n">
        <x:v>46236</x:v>
      </x:c>
      <x:c r="K154" t="str"/>
    </x:row>
    <x:row r="155">
      <x:c r="A155" t="str">
        <x:v>FM20260700154</x:v>
      </x:c>
      <x:c r="B155" s="16" t="n">
        <x:v>46233</x:v>
      </x:c>
      <x:c r="C155" t="str">
        <x:v>FM-03-04</x:v>
      </x:c>
      <x:c r="D155" t="str">
        <x:v>Liên tỉnh</x:v>
      </x:c>
      <x:c r="E155" t="str">
        <x:v>COD</x:v>
      </x:c>
      <x:c r="F155" t="n">
        <x:v>2</x:v>
      </x:c>
      <x:c r="G155" s="14" t="str">
        <x:f>IF(E155="","",IFERROR(VLOOKUP(E155,'02_Bang_gia'!$A$2:$D$13,4,FALSE),"KHÔNG TÌM THẤY"))</x:f>
        <x:v>KHÔNG TÌM THẤY</x:v>
      </x:c>
      <x:c r="H155" s="14" t="str">
        <x:f>IF(ISNUMBER(G155),G155*F155,"")</x:f>
      </x:c>
      <x:c r="I155" t="str">
        <x:v>Đã giao</x:v>
      </x:c>
      <x:c r="J155" s="16" t="n">
        <x:v>46235</x:v>
      </x:c>
      <x:c r="K155" t="str"/>
    </x:row>
    <x:row r="156">
      <x:c r="A156" t="str">
        <x:v>FM20260700155</x:v>
      </x:c>
      <x:c r="B156" s="16" t="n">
        <x:v>46234</x:v>
      </x:c>
      <x:c r="C156" t="str">
        <x:v>FM-01-04</x:v>
      </x:c>
      <x:c r="D156" t="str">
        <x:v>Nội thành</x:v>
      </x:c>
      <x:c r="E156" t="str">
        <x:v>COD</x:v>
      </x:c>
      <x:c r="F156" t="n">
        <x:v>0.5</x:v>
      </x:c>
      <x:c r="G156" s="14" t="str">
        <x:f>IF(E156="","",IFERROR(VLOOKUP(E156,'02_Bang_gia'!$A$2:$D$13,4,FALSE),"KHÔNG TÌM THẤY"))</x:f>
        <x:v>KHÔNG TÌM THẤY</x:v>
      </x:c>
      <x:c r="H156" s="14" t="str">
        <x:f>IF(ISNUMBER(G156),G156*F156,"")</x:f>
      </x:c>
      <x:c r="I156" t="str">
        <x:v>Đã giao</x:v>
      </x:c>
      <x:c r="J156" s="16" t="n">
        <x:v>46238</x:v>
      </x:c>
      <x:c r="K156" t="str"/>
    </x:row>
    <x:row r="157">
      <x:c r="A157" t="str">
        <x:v>FM20260700156</x:v>
      </x:c>
      <x:c r="B157" s="16" t="n">
        <x:v>46204</x:v>
      </x:c>
      <x:c r="C157" t="str">
        <x:v>FM-02-03</x:v>
      </x:c>
      <x:c r="D157" t="str">
        <x:v>Ngoại thành</x:v>
      </x:c>
      <x:c r="E157" t="str">
        <x:v>Hỏa tốc</x:v>
      </x:c>
      <x:c r="F157" t="n">
        <x:v>5</x:v>
      </x:c>
      <x:c r="G157" s="14" t="str">
        <x:f>IF(E157="","",IFERROR(VLOOKUP(E157,'02_Bang_gia'!$A$2:$D$13,4,FALSE),"KHÔNG TÌM THẤY"))</x:f>
        <x:v>KHÔNG TÌM THẤY</x:v>
      </x:c>
      <x:c r="H157" s="14" t="str">
        <x:f>IF(ISNUMBER(G157),G157*F157,"")</x:f>
      </x:c>
      <x:c r="I157" t="str">
        <x:v>Đã giao</x:v>
      </x:c>
      <x:c r="J157" s="16" t="n">
        <x:v>46208</x:v>
      </x:c>
      <x:c r="K157" t="str"/>
    </x:row>
    <x:row r="158">
      <x:c r="A158" t="str">
        <x:v>FM20260700157</x:v>
      </x:c>
      <x:c r="B158" s="16" t="n">
        <x:v>46205</x:v>
      </x:c>
      <x:c r="C158" t="str">
        <x:v>FM-01-03</x:v>
      </x:c>
      <x:c r="D158" t="str">
        <x:v>Nội thành</x:v>
      </x:c>
      <x:c r="E158" t="str">
        <x:v>Hỏa tốc</x:v>
      </x:c>
      <x:c r="F158" t="n">
        <x:v>1</x:v>
      </x:c>
      <x:c r="G158" s="14" t="str">
        <x:f>IF(E158="","",IFERROR(VLOOKUP(E158,'02_Bang_gia'!$A$2:$D$13,4,FALSE),"KHÔNG TÌM THẤY"))</x:f>
        <x:v>KHÔNG TÌM THẤY</x:v>
      </x:c>
      <x:c r="H158" s="14" t="str">
        <x:f>IF(ISNUMBER(G158),G158*F158,"")</x:f>
      </x:c>
      <x:c r="I158" t="str">
        <x:v>Đang giao</x:v>
      </x:c>
      <x:c r="J158" s="16"/>
      <x:c r="K158" t="str"/>
    </x:row>
    <x:row r="159">
      <x:c r="A159" t="str">
        <x:v>FM20260700158</x:v>
      </x:c>
      <x:c r="B159" s="16" t="n">
        <x:v>46206</x:v>
      </x:c>
      <x:c r="C159" t="str">
        <x:v>FM-03-02</x:v>
      </x:c>
      <x:c r="D159" t="str">
        <x:v>Liên tỉnh</x:v>
      </x:c>
      <x:c r="E159" t="str">
        <x:v>Tiêu chuẩn</x:v>
      </x:c>
      <x:c r="F159" t="n">
        <x:v>3</x:v>
      </x:c>
      <x:c r="G159" s="14" t="str">
        <x:f>IF(E159="","",IFERROR(VLOOKUP(E159,'02_Bang_gia'!$A$2:$D$13,4,FALSE),"KHÔNG TÌM THẤY"))</x:f>
        <x:v>KHÔNG TÌM THẤY</x:v>
      </x:c>
      <x:c r="H159" s="14" t="str">
        <x:f>IF(ISNUMBER(G159),G159*F159,"")</x:f>
      </x:c>
      <x:c r="I159" t="str">
        <x:v>Đã giao</x:v>
      </x:c>
      <x:c r="J159" s="16" t="n">
        <x:v>46210</x:v>
      </x:c>
      <x:c r="K159" t="str"/>
    </x:row>
    <x:row r="160">
      <x:c r="A160" t="str">
        <x:v>FM20260700159</x:v>
      </x:c>
      <x:c r="B160" s="16" t="n">
        <x:v>46207</x:v>
      </x:c>
      <x:c r="C160" t="str">
        <x:v>FM-03-02</x:v>
      </x:c>
      <x:c r="D160" t="str">
        <x:v>Liên tỉnh</x:v>
      </x:c>
      <x:c r="E160" t="str">
        <x:v>Tiêu chuẩn</x:v>
      </x:c>
      <x:c r="F160" t="n">
        <x:v>5</x:v>
      </x:c>
      <x:c r="G160" s="14" t="str">
        <x:f>IF(E160="","",IFERROR(VLOOKUP(E160,'02_Bang_gia'!$A$2:$D$13,4,FALSE),"KHÔNG TÌM THẤY"))</x:f>
        <x:v>KHÔNG TÌM THẤY</x:v>
      </x:c>
      <x:c r="H160" s="14" t="str">
        <x:f>IF(ISNUMBER(G160),G160*F160,"")</x:f>
      </x:c>
      <x:c r="I160" t="str">
        <x:v>Đã giao</x:v>
      </x:c>
      <x:c r="J160" s="16" t="n">
        <x:v>46208</x:v>
      </x:c>
      <x:c r="K160" t="str"/>
    </x:row>
    <x:row r="161">
      <x:c r="A161" t="str">
        <x:v>FM20260700160</x:v>
      </x:c>
      <x:c r="B161" s="16" t="n">
        <x:v>46208</x:v>
      </x:c>
      <x:c r="C161" t="str">
        <x:v>FM-02-03</x:v>
      </x:c>
      <x:c r="D161" t="str">
        <x:v>Ngoại thành</x:v>
      </x:c>
      <x:c r="E161" t="str">
        <x:v>Hỏa tốc</x:v>
      </x:c>
      <x:c r="F161" t="n">
        <x:v>1</x:v>
      </x:c>
      <x:c r="G161" s="14" t="str">
        <x:f>IF(E161="","",IFERROR(VLOOKUP(E161,'02_Bang_gia'!$A$2:$D$13,4,FALSE),"KHÔNG TÌM THẤY"))</x:f>
        <x:v>KHÔNG TÌM THẤY</x:v>
      </x:c>
      <x:c r="H161" s="14" t="str">
        <x:f>IF(ISNUMBER(G161),G161*F161,"")</x:f>
      </x:c>
      <x:c r="I161" t="str">
        <x:v>Đã giao</x:v>
      </x:c>
      <x:c r="J161" s="16" t="n">
        <x:v>46212</x:v>
      </x:c>
      <x:c r="K161" t="str"/>
    </x:row>
    <x:row r="162">
      <x:c r="A162" t="str">
        <x:v>FM20260700161</x:v>
      </x:c>
      <x:c r="B162" s="16" t="n">
        <x:v>46209</x:v>
      </x:c>
      <x:c r="C162" t="str">
        <x:v>FM-01-01</x:v>
      </x:c>
      <x:c r="D162" t="str">
        <x:v>Nội thành</x:v>
      </x:c>
      <x:c r="E162" t="str">
        <x:v>Tiết kiệm</x:v>
      </x:c>
      <x:c r="F162" t="n">
        <x:v>1</x:v>
      </x:c>
      <x:c r="G162" s="14" t="str">
        <x:f>IF(E162="","",IFERROR(VLOOKUP(E162,'02_Bang_gia'!$A$2:$D$13,4,FALSE),"KHÔNG TÌM THẤY"))</x:f>
        <x:v>KHÔNG TÌM THẤY</x:v>
      </x:c>
      <x:c r="H162" s="14" t="str">
        <x:f>IF(ISNUMBER(G162),G162*F162,"")</x:f>
      </x:c>
      <x:c r="I162" t="str">
        <x:v>Đã giao</x:v>
      </x:c>
      <x:c r="J162" s="16" t="n">
        <x:v>46212</x:v>
      </x:c>
      <x:c r="K162" t="str"/>
    </x:row>
    <x:row r="163">
      <x:c r="A163" t="str">
        <x:v>FM20260700162</x:v>
      </x:c>
      <x:c r="B163" s="16" t="n">
        <x:v>46210</x:v>
      </x:c>
      <x:c r="C163" t="str">
        <x:v>FM-02-04</x:v>
      </x:c>
      <x:c r="D163" t="str">
        <x:v>Ngoại thành</x:v>
      </x:c>
      <x:c r="E163" t="str">
        <x:v>COD</x:v>
      </x:c>
      <x:c r="F163" t="n">
        <x:v>1.5</x:v>
      </x:c>
      <x:c r="G163" s="14" t="str">
        <x:f>IF(E163="","",IFERROR(VLOOKUP(E163,'02_Bang_gia'!$A$2:$D$13,4,FALSE),"KHÔNG TÌM THẤY"))</x:f>
        <x:v>KHÔNG TÌM THẤY</x:v>
      </x:c>
      <x:c r="H163" s="14" t="str">
        <x:f>IF(ISNUMBER(G163),G163*F163,"")</x:f>
      </x:c>
      <x:c r="I163" t="str">
        <x:v>Đã giao</x:v>
      </x:c>
      <x:c r="J163" s="16" t="n">
        <x:v>46214</x:v>
      </x:c>
      <x:c r="K163" t="str"/>
    </x:row>
    <x:row r="164">
      <x:c r="A164" t="str">
        <x:v>FM20260700163</x:v>
      </x:c>
      <x:c r="B164" s="16" t="n">
        <x:v>46211</x:v>
      </x:c>
      <x:c r="C164" t="str">
        <x:v>FM-02-03</x:v>
      </x:c>
      <x:c r="D164" t="str">
        <x:v>Ngoại thành</x:v>
      </x:c>
      <x:c r="E164" t="str">
        <x:v>Hỏa tốc</x:v>
      </x:c>
      <x:c r="F164" t="n">
        <x:v>2</x:v>
      </x:c>
      <x:c r="G164" s="14" t="str">
        <x:f>IF(E164="","",IFERROR(VLOOKUP(E164,'02_Bang_gia'!$A$2:$D$13,4,FALSE),"KHÔNG TÌM THẤY"))</x:f>
        <x:v>KHÔNG TÌM THẤY</x:v>
      </x:c>
      <x:c r="H164" s="14" t="str">
        <x:f>IF(ISNUMBER(G164),G164*F164,"")</x:f>
      </x:c>
      <x:c r="I164" t="str">
        <x:v>Đã giao</x:v>
      </x:c>
      <x:c r="J164" s="16" t="n">
        <x:v>46212</x:v>
      </x:c>
      <x:c r="K164" t="str"/>
    </x:row>
    <x:row r="165">
      <x:c r="A165" t="str">
        <x:v>FM20260700164</x:v>
      </x:c>
      <x:c r="B165" s="16" t="n">
        <x:v>46212</x:v>
      </x:c>
      <x:c r="C165" t="str">
        <x:v>FM-01-01</x:v>
      </x:c>
      <x:c r="D165" t="str">
        <x:v>Nội thành</x:v>
      </x:c>
      <x:c r="E165" t="str">
        <x:v>Tiết kiệm</x:v>
      </x:c>
      <x:c r="F165" t="n">
        <x:v>1.5</x:v>
      </x:c>
      <x:c r="G165" s="14" t="str">
        <x:f>IF(E165="","",IFERROR(VLOOKUP(E165,'02_Bang_gia'!$A$2:$D$13,4,FALSE),"KHÔNG TÌM THẤY"))</x:f>
        <x:v>KHÔNG TÌM THẤY</x:v>
      </x:c>
      <x:c r="H165" s="14" t="str">
        <x:f>IF(ISNUMBER(G165),G165*F165,"")</x:f>
      </x:c>
      <x:c r="I165" t="str">
        <x:v>Đã giao</x:v>
      </x:c>
      <x:c r="J165" s="16" t="n">
        <x:v>46213</x:v>
      </x:c>
      <x:c r="K165" t="str"/>
    </x:row>
    <x:row r="166">
      <x:c r="A166" t="str">
        <x:v>FM20260700165</x:v>
      </x:c>
      <x:c r="B166" s="16" t="n">
        <x:v>46213</x:v>
      </x:c>
      <x:c r="C166" t="str">
        <x:v>FM-01-04</x:v>
      </x:c>
      <x:c r="D166" t="str">
        <x:v>Nội thành</x:v>
      </x:c>
      <x:c r="E166" t="str">
        <x:v>COD</x:v>
      </x:c>
      <x:c r="F166" t="n">
        <x:v>0.5</x:v>
      </x:c>
      <x:c r="G166" s="14" t="str">
        <x:f>IF(E166="","",IFERROR(VLOOKUP(E166,'02_Bang_gia'!$A$2:$D$13,4,FALSE),"KHÔNG TÌM THẤY"))</x:f>
        <x:v>KHÔNG TÌM THẤY</x:v>
      </x:c>
      <x:c r="H166" s="14" t="str">
        <x:f>IF(ISNUMBER(G166),G166*F166,"")</x:f>
      </x:c>
      <x:c r="I166" t="str">
        <x:v>Đã giao</x:v>
      </x:c>
      <x:c r="J166" s="16" t="n">
        <x:v>46214</x:v>
      </x:c>
      <x:c r="K166" t="str"/>
    </x:row>
    <x:row r="167">
      <x:c r="A167" t="str">
        <x:v>FM20260700166</x:v>
      </x:c>
      <x:c r="B167" s="16" t="n">
        <x:v>46214</x:v>
      </x:c>
      <x:c r="C167" t="str">
        <x:v>FM-01-04</x:v>
      </x:c>
      <x:c r="D167" t="str">
        <x:v>Nội thành</x:v>
      </x:c>
      <x:c r="E167" t="str">
        <x:v>COD</x:v>
      </x:c>
      <x:c r="F167" t="n">
        <x:v>3</x:v>
      </x:c>
      <x:c r="G167" s="14" t="str">
        <x:f>IF(E167="","",IFERROR(VLOOKUP(E167,'02_Bang_gia'!$A$2:$D$13,4,FALSE),"KHÔNG TÌM THẤY"))</x:f>
        <x:v>KHÔNG TÌM THẤY</x:v>
      </x:c>
      <x:c r="H167" s="14" t="str">
        <x:f>IF(ISNUMBER(G167),G167*F167,"")</x:f>
      </x:c>
      <x:c r="I167" t="str">
        <x:v>Đã giao</x:v>
      </x:c>
      <x:c r="J167" s="16" t="n">
        <x:v>46215</x:v>
      </x:c>
      <x:c r="K167" t="str"/>
    </x:row>
    <x:row r="168">
      <x:c r="A168" t="str">
        <x:v>FM20260700167</x:v>
      </x:c>
      <x:c r="B168" s="16" t="n">
        <x:v>46215</x:v>
      </x:c>
      <x:c r="C168" t="str">
        <x:v>FM-01-03</x:v>
      </x:c>
      <x:c r="D168" t="str">
        <x:v>Nội thành</x:v>
      </x:c>
      <x:c r="E168" t="str">
        <x:v>Hỏa tốc</x:v>
      </x:c>
      <x:c r="F168" t="n">
        <x:v>5</x:v>
      </x:c>
      <x:c r="G168" s="14" t="str">
        <x:f>IF(E168="","",IFERROR(VLOOKUP(E168,'02_Bang_gia'!$A$2:$D$13,4,FALSE),"KHÔNG TÌM THẤY"))</x:f>
        <x:v>KHÔNG TÌM THẤY</x:v>
      </x:c>
      <x:c r="H168" s="14" t="str">
        <x:f>IF(ISNUMBER(G168),G168*F168,"")</x:f>
      </x:c>
      <x:c r="I168" t="str">
        <x:v>Đã giao</x:v>
      </x:c>
      <x:c r="J168" s="16" t="n">
        <x:v>46219</x:v>
      </x:c>
      <x:c r="K168" t="str"/>
    </x:row>
    <x:row r="169">
      <x:c r="A169" t="str">
        <x:v>FM20260700168</x:v>
      </x:c>
      <x:c r="B169" s="16" t="n">
        <x:v>46216</x:v>
      </x:c>
      <x:c r="C169" t="str">
        <x:v>FM-01-02</x:v>
      </x:c>
      <x:c r="D169" t="str">
        <x:v>Nội thành</x:v>
      </x:c>
      <x:c r="E169" t="str">
        <x:v>Tiêu chuẩn</x:v>
      </x:c>
      <x:c r="F169" t="n">
        <x:v>2</x:v>
      </x:c>
      <x:c r="G169" s="14" t="str">
        <x:f>IF(E169="","",IFERROR(VLOOKUP(E169,'02_Bang_gia'!$A$2:$D$13,4,FALSE),"KHÔNG TÌM THẤY"))</x:f>
        <x:v>KHÔNG TÌM THẤY</x:v>
      </x:c>
      <x:c r="H169" s="14" t="str">
        <x:f>IF(ISNUMBER(G169),G169*F169,"")</x:f>
      </x:c>
      <x:c r="I169" t="str">
        <x:v>Đã giao</x:v>
      </x:c>
      <x:c r="J169" s="16" t="n">
        <x:v>46218</x:v>
      </x:c>
      <x:c r="K169" t="str"/>
    </x:row>
    <x:row r="170">
      <x:c r="A170" t="str">
        <x:v>FM20260700169</x:v>
      </x:c>
      <x:c r="B170" s="16" t="n">
        <x:v>46217</x:v>
      </x:c>
      <x:c r="C170" t="str">
        <x:v>FM-03-04</x:v>
      </x:c>
      <x:c r="D170" t="str">
        <x:v>Liên tỉnh</x:v>
      </x:c>
      <x:c r="E170" t="str">
        <x:v>COD</x:v>
      </x:c>
      <x:c r="F170" t="n">
        <x:v>1</x:v>
      </x:c>
      <x:c r="G170" s="14" t="str">
        <x:f>IF(E170="","",IFERROR(VLOOKUP(E170,'02_Bang_gia'!$A$2:$D$13,4,FALSE),"KHÔNG TÌM THẤY"))</x:f>
        <x:v>KHÔNG TÌM THẤY</x:v>
      </x:c>
      <x:c r="H170" s="14" t="str">
        <x:f>IF(ISNUMBER(G170),G170*F170,"")</x:f>
      </x:c>
      <x:c r="I170" t="str">
        <x:v>Đã giao</x:v>
      </x:c>
      <x:c r="J170" s="16" t="n">
        <x:v>46220</x:v>
      </x:c>
      <x:c r="K170" t="str"/>
    </x:row>
    <x:row r="171">
      <x:c r="A171" t="str">
        <x:v>FM20260700170</x:v>
      </x:c>
      <x:c r="B171" s="16" t="n">
        <x:v>46218</x:v>
      </x:c>
      <x:c r="C171" t="str">
        <x:v>FM-03-02</x:v>
      </x:c>
      <x:c r="D171" t="str">
        <x:v>Liên tỉnh</x:v>
      </x:c>
      <x:c r="E171" t="str">
        <x:v>Tiêu chuẩn</x:v>
      </x:c>
      <x:c r="F171" t="n">
        <x:v>1</x:v>
      </x:c>
      <x:c r="G171" s="14" t="str">
        <x:f>IF(E171="","",IFERROR(VLOOKUP(E171,'02_Bang_gia'!$A$2:$D$13,4,FALSE),"KHÔNG TÌM THẤY"))</x:f>
        <x:v>KHÔNG TÌM THẤY</x:v>
      </x:c>
      <x:c r="H171" s="14" t="str">
        <x:f>IF(ISNUMBER(G171),G171*F171,"")</x:f>
      </x:c>
      <x:c r="I171" t="str">
        <x:v>Đã giao</x:v>
      </x:c>
      <x:c r="J171" s="16" t="n">
        <x:v>46219</x:v>
      </x:c>
      <x:c r="K171" t="str"/>
    </x:row>
    <x:row r="172">
      <x:c r="A172" t="str">
        <x:v>FM20260700171</x:v>
      </x:c>
      <x:c r="B172" s="16" t="n">
        <x:v>46219</x:v>
      </x:c>
      <x:c r="C172" t="str">
        <x:v>FM-02-01</x:v>
      </x:c>
      <x:c r="D172" t="str">
        <x:v>Ngoại thành</x:v>
      </x:c>
      <x:c r="E172" t="str">
        <x:v>Tiết kiệm</x:v>
      </x:c>
      <x:c r="F172" t="n">
        <x:v>1.5</x:v>
      </x:c>
      <x:c r="G172" s="14" t="str">
        <x:f>IF(E172="","",IFERROR(VLOOKUP(E172,'02_Bang_gia'!$A$2:$D$13,4,FALSE),"KHÔNG TÌM THẤY"))</x:f>
        <x:v>KHÔNG TÌM THẤY</x:v>
      </x:c>
      <x:c r="H172" s="14" t="str">
        <x:f>IF(ISNUMBER(G172),G172*F172,"")</x:f>
      </x:c>
      <x:c r="I172" t="str">
        <x:v>Đã giao</x:v>
      </x:c>
      <x:c r="J172" s="16" t="n">
        <x:v>46220</x:v>
      </x:c>
      <x:c r="K172" t="str"/>
    </x:row>
    <x:row r="173">
      <x:c r="A173" t="str">
        <x:v>FM20260700172</x:v>
      </x:c>
      <x:c r="B173" s="16" t="n">
        <x:v>46220</x:v>
      </x:c>
      <x:c r="C173" t="str">
        <x:v>FM-03-02</x:v>
      </x:c>
      <x:c r="D173" t="str">
        <x:v>Liên tỉnh</x:v>
      </x:c>
      <x:c r="E173" t="str">
        <x:v>Tiêu chuẩn</x:v>
      </x:c>
      <x:c r="F173" t="n">
        <x:v>2</x:v>
      </x:c>
      <x:c r="G173" s="14" t="str">
        <x:f>IF(E173="","",IFERROR(VLOOKUP(E173,'02_Bang_gia'!$A$2:$D$13,4,FALSE),"KHÔNG TÌM THẤY"))</x:f>
        <x:v>KHÔNG TÌM THẤY</x:v>
      </x:c>
      <x:c r="H173" s="14" t="str">
        <x:f>IF(ISNUMBER(G173),G173*F173,"")</x:f>
      </x:c>
      <x:c r="I173" t="str">
        <x:v>Đã giao</x:v>
      </x:c>
      <x:c r="J173" s="16" t="n">
        <x:v>46224</x:v>
      </x:c>
      <x:c r="K173" t="str"/>
    </x:row>
    <x:row r="174">
      <x:c r="A174" t="str">
        <x:v>FM20260700173</x:v>
      </x:c>
      <x:c r="B174" s="16" t="n">
        <x:v>46221</x:v>
      </x:c>
      <x:c r="C174" t="str">
        <x:v>FM-03-04</x:v>
      </x:c>
      <x:c r="D174" t="str">
        <x:v>Liên tỉnh</x:v>
      </x:c>
      <x:c r="E174" t="str">
        <x:v>COD</x:v>
      </x:c>
      <x:c r="F174" t="n">
        <x:v>0.5</x:v>
      </x:c>
      <x:c r="G174" s="14" t="str">
        <x:f>IF(E174="","",IFERROR(VLOOKUP(E174,'02_Bang_gia'!$A$2:$D$13,4,FALSE),"KHÔNG TÌM THẤY"))</x:f>
        <x:v>KHÔNG TÌM THẤY</x:v>
      </x:c>
      <x:c r="H174" s="14" t="str">
        <x:f>IF(ISNUMBER(G174),G174*F174,"")</x:f>
      </x:c>
      <x:c r="I174" t="str">
        <x:v>Đã giao</x:v>
      </x:c>
      <x:c r="J174" s="16" t="n">
        <x:v>46223</x:v>
      </x:c>
      <x:c r="K174" t="str"/>
    </x:row>
    <x:row r="175">
      <x:c r="A175" t="str">
        <x:v>FM20260700174</x:v>
      </x:c>
      <x:c r="B175" s="16" t="n">
        <x:v>46222</x:v>
      </x:c>
      <x:c r="C175" t="str">
        <x:v>FM-03-04</x:v>
      </x:c>
      <x:c r="D175" t="str">
        <x:v>Liên tỉnh</x:v>
      </x:c>
      <x:c r="E175" t="str">
        <x:v>COD</x:v>
      </x:c>
      <x:c r="F175" t="n">
        <x:v>3</x:v>
      </x:c>
      <x:c r="G175" s="14" t="str">
        <x:f>IF(E175="","",IFERROR(VLOOKUP(E175,'02_Bang_gia'!$A$2:$D$13,4,FALSE),"KHÔNG TÌM THẤY"))</x:f>
        <x:v>KHÔNG TÌM THẤY</x:v>
      </x:c>
      <x:c r="H175" s="14" t="str">
        <x:f>IF(ISNUMBER(G175),G175*F175,"")</x:f>
      </x:c>
      <x:c r="I175" t="str">
        <x:v>Đã giao</x:v>
      </x:c>
      <x:c r="J175" s="16" t="n">
        <x:v>46223</x:v>
      </x:c>
      <x:c r="K175" t="str"/>
    </x:row>
    <x:row r="176">
      <x:c r="A176" t="str">
        <x:v>FM20260700175</x:v>
      </x:c>
      <x:c r="B176" s="16" t="n">
        <x:v>46223</x:v>
      </x:c>
      <x:c r="C176" t="str">
        <x:v>FM-01-01</x:v>
      </x:c>
      <x:c r="D176" t="str">
        <x:v>Nội thành</x:v>
      </x:c>
      <x:c r="E176" t="str">
        <x:v>Tiết kiệm</x:v>
      </x:c>
      <x:c r="F176" t="n">
        <x:v>5</x:v>
      </x:c>
      <x:c r="G176" s="14" t="str">
        <x:f>IF(E176="","",IFERROR(VLOOKUP(E176,'02_Bang_gia'!$A$2:$D$13,4,FALSE),"KHÔNG TÌM THẤY"))</x:f>
        <x:v>KHÔNG TÌM THẤY</x:v>
      </x:c>
      <x:c r="H176" s="14" t="str">
        <x:f>IF(ISNUMBER(G176),G176*F176,"")</x:f>
      </x:c>
      <x:c r="I176" t="str">
        <x:v>Đã giao</x:v>
      </x:c>
      <x:c r="J176" s="16" t="n">
        <x:v>46227</x:v>
      </x:c>
      <x:c r="K176" t="str"/>
    </x:row>
    <x:row r="177">
      <x:c r="A177" t="str">
        <x:v>FM20260700176</x:v>
      </x:c>
      <x:c r="B177" s="16" t="n">
        <x:v>46224</x:v>
      </x:c>
      <x:c r="C177" t="str">
        <x:v>FM-02-02</x:v>
      </x:c>
      <x:c r="D177" t="str">
        <x:v>Ngoại thành</x:v>
      </x:c>
      <x:c r="E177" t="str">
        <x:v>Tiêu chuẩn</x:v>
      </x:c>
      <x:c r="F177" t="n">
        <x:v>0.5</x:v>
      </x:c>
      <x:c r="G177" s="14" t="str">
        <x:f>IF(E177="","",IFERROR(VLOOKUP(E177,'02_Bang_gia'!$A$2:$D$13,4,FALSE),"KHÔNG TÌM THẤY"))</x:f>
        <x:v>KHÔNG TÌM THẤY</x:v>
      </x:c>
      <x:c r="H177" s="14" t="str">
        <x:f>IF(ISNUMBER(G177),G177*F177,"")</x:f>
      </x:c>
      <x:c r="I177" t="str">
        <x:v>Đã giao</x:v>
      </x:c>
      <x:c r="J177" s="16" t="n">
        <x:v>46227</x:v>
      </x:c>
      <x:c r="K177" t="str"/>
    </x:row>
    <x:row r="178">
      <x:c r="A178" t="str">
        <x:v>FM20260700177</x:v>
      </x:c>
      <x:c r="B178" s="16" t="n">
        <x:v>46225</x:v>
      </x:c>
      <x:c r="C178" t="str">
        <x:v>FM-02-03</x:v>
      </x:c>
      <x:c r="D178" t="str">
        <x:v>Ngoại thành</x:v>
      </x:c>
      <x:c r="E178" t="str">
        <x:v>Hỏa tốc</x:v>
      </x:c>
      <x:c r="F178" t="n">
        <x:v>0.5</x:v>
      </x:c>
      <x:c r="G178" s="14" t="str">
        <x:f>IF(E178="","",IFERROR(VLOOKUP(E178,'02_Bang_gia'!$A$2:$D$13,4,FALSE),"KHÔNG TÌM THẤY"))</x:f>
        <x:v>KHÔNG TÌM THẤY</x:v>
      </x:c>
      <x:c r="H178" s="14" t="str">
        <x:f>IF(ISNUMBER(G178),G178*F178,"")</x:f>
      </x:c>
      <x:c r="I178" t="str">
        <x:v>Đang giao</x:v>
      </x:c>
      <x:c r="J178" s="16"/>
      <x:c r="K178" t="str"/>
    </x:row>
    <x:row r="179">
      <x:c r="A179" t="str">
        <x:v>FM20260700178</x:v>
      </x:c>
      <x:c r="B179" s="16" t="n">
        <x:v>46226</x:v>
      </x:c>
      <x:c r="C179" t="str">
        <x:v>FM-02-03</x:v>
      </x:c>
      <x:c r="D179" t="str">
        <x:v>Ngoại thành</x:v>
      </x:c>
      <x:c r="E179" t="str">
        <x:v>Hỏa tốc</x:v>
      </x:c>
      <x:c r="F179" t="n">
        <x:v>5</x:v>
      </x:c>
      <x:c r="G179" s="14" t="str">
        <x:f>IF(E179="","",IFERROR(VLOOKUP(E179,'02_Bang_gia'!$A$2:$D$13,4,FALSE),"KHÔNG TÌM THẤY"))</x:f>
        <x:v>KHÔNG TÌM THẤY</x:v>
      </x:c>
      <x:c r="H179" s="14" t="str">
        <x:f>IF(ISNUMBER(G179),G179*F179,"")</x:f>
      </x:c>
      <x:c r="I179" t="str">
        <x:v>Giao thất bại</x:v>
      </x:c>
      <x:c r="J179" s="16"/>
      <x:c r="K179" t="str"/>
    </x:row>
    <x:row r="180">
      <x:c r="A180" t="str">
        <x:v>FM20260700179</x:v>
      </x:c>
      <x:c r="B180" s="16" t="n">
        <x:v>46227</x:v>
      </x:c>
      <x:c r="C180" t="str">
        <x:v>FM-02-04</x:v>
      </x:c>
      <x:c r="D180" t="str">
        <x:v>Ngoại thành</x:v>
      </x:c>
      <x:c r="E180" t="str">
        <x:v>COD</x:v>
      </x:c>
      <x:c r="F180" t="n">
        <x:v>1</x:v>
      </x:c>
      <x:c r="G180" s="14" t="str">
        <x:f>IF(E180="","",IFERROR(VLOOKUP(E180,'02_Bang_gia'!$A$2:$D$13,4,FALSE),"KHÔNG TÌM THẤY"))</x:f>
        <x:v>KHÔNG TÌM THẤY</x:v>
      </x:c>
      <x:c r="H180" s="14" t="str">
        <x:f>IF(ISNUMBER(G180),G180*F180,"")</x:f>
      </x:c>
      <x:c r="I180" t="str">
        <x:v>Đã giao</x:v>
      </x:c>
      <x:c r="J180" s="16" t="n">
        <x:v>46231</x:v>
      </x:c>
      <x:c r="K180" t="str"/>
    </x:row>
    <x:row r="181">
      <x:c r="A181" t="str">
        <x:v>FM20260700180</x:v>
      </x:c>
      <x:c r="B181" s="16" t="n">
        <x:v>46228</x:v>
      </x:c>
      <x:c r="C181" t="str">
        <x:v>FM-03-04</x:v>
      </x:c>
      <x:c r="D181" t="str">
        <x:v>Liên tỉnh</x:v>
      </x:c>
      <x:c r="E181" t="str">
        <x:v>COD</x:v>
      </x:c>
      <x:c r="F181" t="n">
        <x:v>3</x:v>
      </x:c>
      <x:c r="G181" s="14" t="str">
        <x:f>IF(E181="","",IFERROR(VLOOKUP(E181,'02_Bang_gia'!$A$2:$D$13,4,FALSE),"KHÔNG TÌM THẤY"))</x:f>
        <x:v>KHÔNG TÌM THẤY</x:v>
      </x:c>
      <x:c r="H181" s="14" t="str">
        <x:f>IF(ISNUMBER(G181),G181*F181,"")</x:f>
      </x:c>
      <x:c r="I181" t="str">
        <x:v>Đã giao</x:v>
      </x:c>
      <x:c r="J181" s="16" t="n">
        <x:v>46231</x:v>
      </x:c>
      <x:c r="K181" t="str"/>
    </x:row>
    <x:row r="182">
      <x:c r="A182" t="str">
        <x:v>FM20260700181</x:v>
      </x:c>
      <x:c r="B182" s="16" t="n">
        <x:v>46229</x:v>
      </x:c>
      <x:c r="C182" t="str">
        <x:v>FM-03-01</x:v>
      </x:c>
      <x:c r="D182" t="str">
        <x:v>Liên tỉnh</x:v>
      </x:c>
      <x:c r="E182" t="str">
        <x:v>Tiết kiệm</x:v>
      </x:c>
      <x:c r="F182" t="n">
        <x:v>2</x:v>
      </x:c>
      <x:c r="G182" s="14" t="str">
        <x:f>IF(E182="","",IFERROR(VLOOKUP(E182,'02_Bang_gia'!$A$2:$D$13,4,FALSE),"KHÔNG TÌM THẤY"))</x:f>
        <x:v>KHÔNG TÌM THẤY</x:v>
      </x:c>
      <x:c r="H182" s="14" t="str">
        <x:f>IF(ISNUMBER(G182),G182*F182,"")</x:f>
      </x:c>
      <x:c r="I182" t="str">
        <x:v>Đã giao</x:v>
      </x:c>
      <x:c r="J182" s="16" t="n">
        <x:v>46233</x:v>
      </x:c>
      <x:c r="K182" t="str"/>
    </x:row>
    <x:row r="183">
      <x:c r="A183" t="str">
        <x:v>FM20260700182</x:v>
      </x:c>
      <x:c r="B183" s="16" t="n">
        <x:v>46230</x:v>
      </x:c>
      <x:c r="C183" t="str">
        <x:v>FM-03-04</x:v>
      </x:c>
      <x:c r="D183" t="str">
        <x:v>Liên tỉnh</x:v>
      </x:c>
      <x:c r="E183" t="str">
        <x:v>COD</x:v>
      </x:c>
      <x:c r="F183" t="n">
        <x:v>1</x:v>
      </x:c>
      <x:c r="G183" s="14" t="str">
        <x:f>IF(E183="","",IFERROR(VLOOKUP(E183,'02_Bang_gia'!$A$2:$D$13,4,FALSE),"KHÔNG TÌM THẤY"))</x:f>
        <x:v>KHÔNG TÌM THẤY</x:v>
      </x:c>
      <x:c r="H183" s="14" t="str">
        <x:f>IF(ISNUMBER(G183),G183*F183,"")</x:f>
      </x:c>
      <x:c r="I183" t="str">
        <x:v>Đã giao</x:v>
      </x:c>
      <x:c r="J183" s="16" t="n">
        <x:v>46233</x:v>
      </x:c>
      <x:c r="K183" t="str"/>
    </x:row>
    <x:row r="184">
      <x:c r="A184" t="str">
        <x:v>FM20260700183</x:v>
      </x:c>
      <x:c r="B184" s="16" t="n">
        <x:v>46231</x:v>
      </x:c>
      <x:c r="C184" t="str">
        <x:v>FM-01-02</x:v>
      </x:c>
      <x:c r="D184" t="str">
        <x:v>Nội thành</x:v>
      </x:c>
      <x:c r="E184" t="str">
        <x:v>Tiêu chuẩn</x:v>
      </x:c>
      <x:c r="F184" t="n">
        <x:v>1</x:v>
      </x:c>
      <x:c r="G184" s="14" t="str">
        <x:f>IF(E184="","",IFERROR(VLOOKUP(E184,'02_Bang_gia'!$A$2:$D$13,4,FALSE),"KHÔNG TÌM THẤY"))</x:f>
        <x:v>KHÔNG TÌM THẤY</x:v>
      </x:c>
      <x:c r="H184" s="14" t="str">
        <x:f>IF(ISNUMBER(G184),G184*F184,"")</x:f>
      </x:c>
      <x:c r="I184" t="str">
        <x:v>Đã giao</x:v>
      </x:c>
      <x:c r="J184" s="16" t="n">
        <x:v>46235</x:v>
      </x:c>
      <x:c r="K184" t="str"/>
    </x:row>
    <x:row r="185">
      <x:c r="A185" t="str">
        <x:v>FM20260700184</x:v>
      </x:c>
      <x:c r="B185" s="16" t="n">
        <x:v>46232</x:v>
      </x:c>
      <x:c r="C185" t="str">
        <x:v>FM-02-04</x:v>
      </x:c>
      <x:c r="D185" t="str">
        <x:v>Ngoại thành</x:v>
      </x:c>
      <x:c r="E185" t="str">
        <x:v>COD</x:v>
      </x:c>
      <x:c r="F185" t="n">
        <x:v>1.5</x:v>
      </x:c>
      <x:c r="G185" s="14" t="str">
        <x:f>IF(E185="","",IFERROR(VLOOKUP(E185,'02_Bang_gia'!$A$2:$D$13,4,FALSE),"KHÔNG TÌM THẤY"))</x:f>
        <x:v>KHÔNG TÌM THẤY</x:v>
      </x:c>
      <x:c r="H185" s="14" t="str">
        <x:f>IF(ISNUMBER(G185),G185*F185,"")</x:f>
      </x:c>
      <x:c r="I185" t="str">
        <x:v>Đã giao</x:v>
      </x:c>
      <x:c r="J185" s="16" t="n">
        <x:v>46236</x:v>
      </x:c>
      <x:c r="K185" t="str"/>
    </x:row>
    <x:row r="186">
      <x:c r="A186" t="str">
        <x:v>FM20260700185</x:v>
      </x:c>
      <x:c r="B186" s="16" t="n">
        <x:v>46233</x:v>
      </x:c>
      <x:c r="C186" t="str">
        <x:v>FM-01-01</x:v>
      </x:c>
      <x:c r="D186" t="str">
        <x:v>Nội thành</x:v>
      </x:c>
      <x:c r="E186" t="str">
        <x:v>Tiết kiệm</x:v>
      </x:c>
      <x:c r="F186" t="n">
        <x:v>1</x:v>
      </x:c>
      <x:c r="G186" s="14" t="str">
        <x:f>IF(E186="","",IFERROR(VLOOKUP(E186,'02_Bang_gia'!$A$2:$D$13,4,FALSE),"KHÔNG TÌM THẤY"))</x:f>
        <x:v>KHÔNG TÌM THẤY</x:v>
      </x:c>
      <x:c r="H186" s="14" t="str">
        <x:f>IF(ISNUMBER(G186),G186*F186,"")</x:f>
      </x:c>
      <x:c r="I186" t="str">
        <x:v>Đã giao</x:v>
      </x:c>
      <x:c r="J186" s="16" t="n">
        <x:v>46236</x:v>
      </x:c>
      <x:c r="K186" t="str"/>
    </x:row>
    <x:row r="187">
      <x:c r="A187" t="str">
        <x:v>FM20260700186</x:v>
      </x:c>
      <x:c r="B187" s="16" t="n">
        <x:v>46234</x:v>
      </x:c>
      <x:c r="C187" t="str">
        <x:v>FM-02-04</x:v>
      </x:c>
      <x:c r="D187" t="str">
        <x:v>Ngoại thành</x:v>
      </x:c>
      <x:c r="E187" t="str">
        <x:v>COD</x:v>
      </x:c>
      <x:c r="F187" t="n">
        <x:v>1.5</x:v>
      </x:c>
      <x:c r="G187" s="14" t="str">
        <x:f>IF(E187="","",IFERROR(VLOOKUP(E187,'02_Bang_gia'!$A$2:$D$13,4,FALSE),"KHÔNG TÌM THẤY"))</x:f>
        <x:v>KHÔNG TÌM THẤY</x:v>
      </x:c>
      <x:c r="H187" s="14" t="str">
        <x:f>IF(ISNUMBER(G187),G187*F187,"")</x:f>
      </x:c>
      <x:c r="I187" t="str">
        <x:v>Đã giao</x:v>
      </x:c>
      <x:c r="J187" s="16" t="n">
        <x:v>46237</x:v>
      </x:c>
      <x:c r="K187" t="str"/>
    </x:row>
    <x:row r="188">
      <x:c r="A188" t="str">
        <x:v>FM20260700187</x:v>
      </x:c>
      <x:c r="B188" s="16" t="n">
        <x:v>46204</x:v>
      </x:c>
      <x:c r="C188" t="str">
        <x:v>FM-02-01</x:v>
      </x:c>
      <x:c r="D188" t="str">
        <x:v>Ngoại thành</x:v>
      </x:c>
      <x:c r="E188" t="str">
        <x:v>Tiết kiệm</x:v>
      </x:c>
      <x:c r="F188" t="n">
        <x:v>5</x:v>
      </x:c>
      <x:c r="G188" s="14" t="str">
        <x:f>IF(E188="","",IFERROR(VLOOKUP(E188,'02_Bang_gia'!$A$2:$D$13,4,FALSE),"KHÔNG TÌM THẤY"))</x:f>
        <x:v>KHÔNG TÌM THẤY</x:v>
      </x:c>
      <x:c r="H188" s="14" t="str">
        <x:f>IF(ISNUMBER(G188),G188*F188,"")</x:f>
      </x:c>
      <x:c r="I188" t="str">
        <x:v>Đang giao</x:v>
      </x:c>
      <x:c r="J188" s="16"/>
      <x:c r="K188" t="str"/>
    </x:row>
    <x:row r="189">
      <x:c r="A189" t="str">
        <x:v>FM20260700188</x:v>
      </x:c>
      <x:c r="B189" s="16" t="n">
        <x:v>46205</x:v>
      </x:c>
      <x:c r="C189" t="str">
        <x:v>FM-02-01</x:v>
      </x:c>
      <x:c r="D189" t="str">
        <x:v>Ngoại thành</x:v>
      </x:c>
      <x:c r="E189" t="str">
        <x:v>Tiết kiệm</x:v>
      </x:c>
      <x:c r="F189" t="n">
        <x:v>0.5</x:v>
      </x:c>
      <x:c r="G189" s="14" t="str">
        <x:f>IF(E189="","",IFERROR(VLOOKUP(E189,'02_Bang_gia'!$A$2:$D$13,4,FALSE),"KHÔNG TÌM THẤY"))</x:f>
        <x:v>KHÔNG TÌM THẤY</x:v>
      </x:c>
      <x:c r="H189" s="14" t="str">
        <x:f>IF(ISNUMBER(G189),G189*F189,"")</x:f>
      </x:c>
      <x:c r="I189" t="str">
        <x:v>Đã giao</x:v>
      </x:c>
      <x:c r="J189" s="16" t="n">
        <x:v>46207</x:v>
      </x:c>
      <x:c r="K189" t="str"/>
    </x:row>
    <x:row r="190">
      <x:c r="A190" t="str">
        <x:v>FM20260700189</x:v>
      </x:c>
      <x:c r="B190" s="16" t="n">
        <x:v>46206</x:v>
      </x:c>
      <x:c r="C190" t="str">
        <x:v>FM-01-04</x:v>
      </x:c>
      <x:c r="D190" t="str">
        <x:v>Nội thành</x:v>
      </x:c>
      <x:c r="E190" t="str">
        <x:v>COD</x:v>
      </x:c>
      <x:c r="F190" t="n">
        <x:v>3</x:v>
      </x:c>
      <x:c r="G190" s="14" t="str">
        <x:f>IF(E190="","",IFERROR(VLOOKUP(E190,'02_Bang_gia'!$A$2:$D$13,4,FALSE),"KHÔNG TÌM THẤY"))</x:f>
        <x:v>KHÔNG TÌM THẤY</x:v>
      </x:c>
      <x:c r="H190" s="14" t="str">
        <x:f>IF(ISNUMBER(G190),G190*F190,"")</x:f>
      </x:c>
      <x:c r="I190" t="str">
        <x:v>Đã giao</x:v>
      </x:c>
      <x:c r="J190" s="16" t="n">
        <x:v>46210</x:v>
      </x:c>
      <x:c r="K190" t="str"/>
    </x:row>
    <x:row r="191">
      <x:c r="A191" t="str">
        <x:v>FM20260700190</x:v>
      </x:c>
      <x:c r="B191" s="16" t="n">
        <x:v>46207</x:v>
      </x:c>
      <x:c r="C191" t="str">
        <x:v>FM-01-04</x:v>
      </x:c>
      <x:c r="D191" t="str">
        <x:v>Nội thành</x:v>
      </x:c>
      <x:c r="E191" t="str">
        <x:v>COD</x:v>
      </x:c>
      <x:c r="F191" t="n">
        <x:v>2</x:v>
      </x:c>
      <x:c r="G191" s="14" t="str">
        <x:f>IF(E191="","",IFERROR(VLOOKUP(E191,'02_Bang_gia'!$A$2:$D$13,4,FALSE),"KHÔNG TÌM THẤY"))</x:f>
        <x:v>KHÔNG TÌM THẤY</x:v>
      </x:c>
      <x:c r="H191" s="14" t="str">
        <x:f>IF(ISNUMBER(G191),G191*F191,"")</x:f>
      </x:c>
      <x:c r="I191" t="str">
        <x:v>Đã giao</x:v>
      </x:c>
      <x:c r="J191" s="16" t="n">
        <x:v>46211</x:v>
      </x:c>
      <x:c r="K191" t="str"/>
    </x:row>
    <x:row r="192">
      <x:c r="A192" t="str">
        <x:v>FM20260700191</x:v>
      </x:c>
      <x:c r="B192" s="16" t="n">
        <x:v>46208</x:v>
      </x:c>
      <x:c r="C192" t="str">
        <x:v>FM-01-01</x:v>
      </x:c>
      <x:c r="D192" t="str">
        <x:v>Nội thành</x:v>
      </x:c>
      <x:c r="E192" t="str">
        <x:v>Tiết kiệm</x:v>
      </x:c>
      <x:c r="F192" t="n">
        <x:v>2</x:v>
      </x:c>
      <x:c r="G192" s="14" t="str">
        <x:f>IF(E192="","",IFERROR(VLOOKUP(E192,'02_Bang_gia'!$A$2:$D$13,4,FALSE),"KHÔNG TÌM THẤY"))</x:f>
        <x:v>KHÔNG TÌM THẤY</x:v>
      </x:c>
      <x:c r="H192" s="14" t="str">
        <x:f>IF(ISNUMBER(G192),G192*F192,"")</x:f>
      </x:c>
      <x:c r="I192" t="str">
        <x:v>Đã giao</x:v>
      </x:c>
      <x:c r="J192" s="16" t="n">
        <x:v>46210</x:v>
      </x:c>
      <x:c r="K192" t="str"/>
    </x:row>
    <x:row r="193">
      <x:c r="A193" t="str">
        <x:v>FM20260700192</x:v>
      </x:c>
      <x:c r="B193" s="16" t="n">
        <x:v>46209</x:v>
      </x:c>
      <x:c r="C193" t="str">
        <x:v>FM-03-04</x:v>
      </x:c>
      <x:c r="D193" t="str">
        <x:v>Liên tỉnh</x:v>
      </x:c>
      <x:c r="E193" t="str">
        <x:v>COD</x:v>
      </x:c>
      <x:c r="F193" t="n">
        <x:v>2</x:v>
      </x:c>
      <x:c r="G193" s="14" t="str">
        <x:f>IF(E193="","",IFERROR(VLOOKUP(E193,'02_Bang_gia'!$A$2:$D$13,4,FALSE),"KHÔNG TÌM THẤY"))</x:f>
        <x:v>KHÔNG TÌM THẤY</x:v>
      </x:c>
      <x:c r="H193" s="14" t="str">
        <x:f>IF(ISNUMBER(G193),G193*F193,"")</x:f>
      </x:c>
      <x:c r="I193" t="str">
        <x:v>Đã giao</x:v>
      </x:c>
      <x:c r="J193" s="16" t="n">
        <x:v>46212</x:v>
      </x:c>
      <x:c r="K193" t="str"/>
    </x:row>
    <x:row r="194">
      <x:c r="A194" t="str">
        <x:v>FM20260700193</x:v>
      </x:c>
      <x:c r="B194" s="16" t="n">
        <x:v>46210</x:v>
      </x:c>
      <x:c r="C194" t="str">
        <x:v>FM-03-01</x:v>
      </x:c>
      <x:c r="D194" t="str">
        <x:v>Liên tỉnh</x:v>
      </x:c>
      <x:c r="E194" t="str">
        <x:v>Tiết kiệm</x:v>
      </x:c>
      <x:c r="F194" t="n">
        <x:v>5</x:v>
      </x:c>
      <x:c r="G194" s="14" t="str">
        <x:f>IF(E194="","",IFERROR(VLOOKUP(E194,'02_Bang_gia'!$A$2:$D$13,4,FALSE),"KHÔNG TÌM THẤY"))</x:f>
        <x:v>KHÔNG TÌM THẤY</x:v>
      </x:c>
      <x:c r="H194" s="14" t="str">
        <x:f>IF(ISNUMBER(G194),G194*F194,"")</x:f>
      </x:c>
      <x:c r="I194" t="str">
        <x:v>Đã giao</x:v>
      </x:c>
      <x:c r="J194" s="16" t="n">
        <x:v>46214</x:v>
      </x:c>
      <x:c r="K194" t="str"/>
    </x:row>
    <x:row r="195">
      <x:c r="A195" t="str">
        <x:v>FM20260700194</x:v>
      </x:c>
      <x:c r="B195" s="16" t="n">
        <x:v>46211</x:v>
      </x:c>
      <x:c r="C195" t="str">
        <x:v>FM-03-01</x:v>
      </x:c>
      <x:c r="D195" t="str">
        <x:v>Liên tỉnh</x:v>
      </x:c>
      <x:c r="E195" t="str">
        <x:v>Tiết kiệm</x:v>
      </x:c>
      <x:c r="F195" t="n">
        <x:v>1.5</x:v>
      </x:c>
      <x:c r="G195" s="14" t="str">
        <x:f>IF(E195="","",IFERROR(VLOOKUP(E195,'02_Bang_gia'!$A$2:$D$13,4,FALSE),"KHÔNG TÌM THẤY"))</x:f>
        <x:v>KHÔNG TÌM THẤY</x:v>
      </x:c>
      <x:c r="H195" s="14" t="str">
        <x:f>IF(ISNUMBER(G195),G195*F195,"")</x:f>
      </x:c>
      <x:c r="I195" t="str">
        <x:v>Đã giao</x:v>
      </x:c>
      <x:c r="J195" s="16" t="n">
        <x:v>46215</x:v>
      </x:c>
      <x:c r="K195" t="str"/>
    </x:row>
    <x:row r="196">
      <x:c r="A196" t="str">
        <x:v>FM20260700195</x:v>
      </x:c>
      <x:c r="B196" s="16" t="n">
        <x:v>46212</x:v>
      </x:c>
      <x:c r="C196" t="str">
        <x:v>FM-02-01</x:v>
      </x:c>
      <x:c r="D196" t="str">
        <x:v>Ngoại thành</x:v>
      </x:c>
      <x:c r="E196" t="str">
        <x:v>Tiết kiệm</x:v>
      </x:c>
      <x:c r="F196" t="n">
        <x:v>5</x:v>
      </x:c>
      <x:c r="G196" s="14" t="str">
        <x:f>IF(E196="","",IFERROR(VLOOKUP(E196,'02_Bang_gia'!$A$2:$D$13,4,FALSE),"KHÔNG TÌM THẤY"))</x:f>
        <x:v>KHÔNG TÌM THẤY</x:v>
      </x:c>
      <x:c r="H196" s="14" t="str">
        <x:f>IF(ISNUMBER(G196),G196*F196,"")</x:f>
      </x:c>
      <x:c r="I196" t="str">
        <x:v>Đã giao</x:v>
      </x:c>
      <x:c r="J196" s="16" t="n">
        <x:v>46213</x:v>
      </x:c>
      <x:c r="K196" t="str"/>
    </x:row>
    <x:row r="197">
      <x:c r="A197" t="str">
        <x:v>FM20260700196</x:v>
      </x:c>
      <x:c r="B197" s="16" t="n">
        <x:v>46213</x:v>
      </x:c>
      <x:c r="C197" t="str">
        <x:v>FM-01-04</x:v>
      </x:c>
      <x:c r="D197" t="str">
        <x:v>Nội thành</x:v>
      </x:c>
      <x:c r="E197" t="str">
        <x:v>COD</x:v>
      </x:c>
      <x:c r="F197" t="n">
        <x:v>1</x:v>
      </x:c>
      <x:c r="G197" s="14" t="str">
        <x:f>IF(E197="","",IFERROR(VLOOKUP(E197,'02_Bang_gia'!$A$2:$D$13,4,FALSE),"KHÔNG TÌM THẤY"))</x:f>
        <x:v>KHÔNG TÌM THẤY</x:v>
      </x:c>
      <x:c r="H197" s="14" t="str">
        <x:f>IF(ISNUMBER(G197),G197*F197,"")</x:f>
      </x:c>
      <x:c r="I197" t="str">
        <x:v>Đã giao</x:v>
      </x:c>
      <x:c r="J197" s="16" t="n">
        <x:v>46215</x:v>
      </x:c>
      <x:c r="K197" t="str"/>
    </x:row>
    <x:row r="198">
      <x:c r="A198" t="str">
        <x:v>FM20260700197</x:v>
      </x:c>
      <x:c r="B198" s="16" t="n">
        <x:v>46214</x:v>
      </x:c>
      <x:c r="C198" t="str">
        <x:v>FM-01-04</x:v>
      </x:c>
      <x:c r="D198" t="str">
        <x:v>Nội thành</x:v>
      </x:c>
      <x:c r="E198" t="str">
        <x:v>COD</x:v>
      </x:c>
      <x:c r="F198" t="n">
        <x:v>5</x:v>
      </x:c>
      <x:c r="G198" s="14" t="str">
        <x:f>IF(E198="","",IFERROR(VLOOKUP(E198,'02_Bang_gia'!$A$2:$D$13,4,FALSE),"KHÔNG TÌM THẤY"))</x:f>
        <x:v>KHÔNG TÌM THẤY</x:v>
      </x:c>
      <x:c r="H198" s="14" t="str">
        <x:f>IF(ISNUMBER(G198),G198*F198,"")</x:f>
      </x:c>
      <x:c r="I198" t="str">
        <x:v>Đã giao</x:v>
      </x:c>
      <x:c r="J198" s="16" t="n">
        <x:v>46217</x:v>
      </x:c>
      <x:c r="K198" t="str"/>
    </x:row>
    <x:row r="199">
      <x:c r="A199" t="str">
        <x:v>FM20260700198</x:v>
      </x:c>
      <x:c r="B199" s="16" t="n">
        <x:v>46215</x:v>
      </x:c>
      <x:c r="C199" t="str">
        <x:v>FM-03-02</x:v>
      </x:c>
      <x:c r="D199" t="str">
        <x:v>Liên tỉnh</x:v>
      </x:c>
      <x:c r="E199" t="str">
        <x:v>Tiêu chuẩn</x:v>
      </x:c>
      <x:c r="F199" t="n">
        <x:v>3</x:v>
      </x:c>
      <x:c r="G199" s="14" t="str">
        <x:f>IF(E199="","",IFERROR(VLOOKUP(E199,'02_Bang_gia'!$A$2:$D$13,4,FALSE),"KHÔNG TÌM THẤY"))</x:f>
        <x:v>KHÔNG TÌM THẤY</x:v>
      </x:c>
      <x:c r="H199" s="14" t="str">
        <x:f>IF(ISNUMBER(G199),G199*F199,"")</x:f>
      </x:c>
      <x:c r="I199" t="str">
        <x:v>Giao thất bại</x:v>
      </x:c>
      <x:c r="J199" s="16"/>
      <x:c r="K199" t="str"/>
    </x:row>
    <x:row r="200">
      <x:c r="A200" t="str">
        <x:v>FM20260700199</x:v>
      </x:c>
      <x:c r="B200" s="16" t="n">
        <x:v>46216</x:v>
      </x:c>
      <x:c r="C200" t="str">
        <x:v>FM-03-02</x:v>
      </x:c>
      <x:c r="D200" t="str">
        <x:v>Liên tỉnh</x:v>
      </x:c>
      <x:c r="E200" t="str">
        <x:v>Tiêu chuẩn</x:v>
      </x:c>
      <x:c r="F200" t="n">
        <x:v>1</x:v>
      </x:c>
      <x:c r="G200" s="14" t="str">
        <x:f>IF(E200="","",IFERROR(VLOOKUP(E200,'02_Bang_gia'!$A$2:$D$13,4,FALSE),"KHÔNG TÌM THẤY"))</x:f>
        <x:v>KHÔNG TÌM THẤY</x:v>
      </x:c>
      <x:c r="H200" s="14" t="str">
        <x:f>IF(ISNUMBER(G200),G200*F200,"")</x:f>
      </x:c>
      <x:c r="I200" t="str">
        <x:v>Đã giao</x:v>
      </x:c>
      <x:c r="J200" s="16" t="n">
        <x:v>46217</x:v>
      </x:c>
      <x:c r="K200" t="str"/>
    </x:row>
    <x:row r="201">
      <x:c r="A201" t="str">
        <x:v>FM20260700200</x:v>
      </x:c>
      <x:c r="B201" s="16" t="n">
        <x:v>46217</x:v>
      </x:c>
      <x:c r="C201" t="str">
        <x:v>FM-02-01</x:v>
      </x:c>
      <x:c r="D201" t="str">
        <x:v>Ngoại thành</x:v>
      </x:c>
      <x:c r="E201" t="str">
        <x:v>Tiết kiệm</x:v>
      </x:c>
      <x:c r="F201" t="n">
        <x:v>1.5</x:v>
      </x:c>
      <x:c r="G201" s="14" t="str">
        <x:f>IF(E201="","",IFERROR(VLOOKUP(E201,'02_Bang_gia'!$A$2:$D$13,4,FALSE),"KHÔNG TÌM THẤY"))</x:f>
        <x:v>KHÔNG TÌM THẤY</x:v>
      </x:c>
      <x:c r="H201" s="14" t="str">
        <x:f>IF(ISNUMBER(G201),G201*F201,"")</x:f>
      </x:c>
      <x:c r="I201" t="str">
        <x:v>Đã giao</x:v>
      </x:c>
      <x:c r="J201" s="16" t="n">
        <x:v>46219</x:v>
      </x:c>
      <x:c r="K201" t="str"/>
    </x:row>
    <x:row r="202">
      <x:c r="A202" t="str">
        <x:v>FM20260700201</x:v>
      </x:c>
      <x:c r="B202" s="16" t="n">
        <x:v>46218</x:v>
      </x:c>
      <x:c r="C202" t="str">
        <x:v>FM-01-01</x:v>
      </x:c>
      <x:c r="D202" t="str">
        <x:v>Nội thành</x:v>
      </x:c>
      <x:c r="E202" t="str">
        <x:v>Tiết kiệm</x:v>
      </x:c>
      <x:c r="F202" t="n">
        <x:v>1.5</x:v>
      </x:c>
      <x:c r="G202" s="14" t="str">
        <x:f>IF(E202="","",IFERROR(VLOOKUP(E202,'02_Bang_gia'!$A$2:$D$13,4,FALSE),"KHÔNG TÌM THẤY"))</x:f>
        <x:v>KHÔNG TÌM THẤY</x:v>
      </x:c>
      <x:c r="H202" s="14" t="str">
        <x:f>IF(ISNUMBER(G202),G202*F202,"")</x:f>
      </x:c>
      <x:c r="I202" t="str">
        <x:v>Đã giao</x:v>
      </x:c>
      <x:c r="J202" s="16" t="n">
        <x:v>46220</x:v>
      </x:c>
      <x:c r="K202" t="str"/>
    </x:row>
    <x:row r="203">
      <x:c r="A203" t="str">
        <x:v>FM20260700202</x:v>
      </x:c>
      <x:c r="B203" s="16" t="n">
        <x:v>46219</x:v>
      </x:c>
      <x:c r="C203" t="str">
        <x:v>FM-01-01</x:v>
      </x:c>
      <x:c r="D203" t="str">
        <x:v>Nội thành</x:v>
      </x:c>
      <x:c r="E203" t="str">
        <x:v>Tiết kiệm</x:v>
      </x:c>
      <x:c r="F203" t="n">
        <x:v>3</x:v>
      </x:c>
      <x:c r="G203" s="14" t="str">
        <x:f>IF(E203="","",IFERROR(VLOOKUP(E203,'02_Bang_gia'!$A$2:$D$13,4,FALSE),"KHÔNG TÌM THẤY"))</x:f>
        <x:v>KHÔNG TÌM THẤY</x:v>
      </x:c>
      <x:c r="H203" s="14" t="str">
        <x:f>IF(ISNUMBER(G203),G203*F203,"")</x:f>
      </x:c>
      <x:c r="I203" t="str">
        <x:v>Giao thất bại</x:v>
      </x:c>
      <x:c r="J203" s="16"/>
      <x:c r="K203" t="str"/>
    </x:row>
    <x:row r="204">
      <x:c r="A204" t="str">
        <x:v>FM20260700203</x:v>
      </x:c>
      <x:c r="B204" s="16" t="n">
        <x:v>46220</x:v>
      </x:c>
      <x:c r="C204" t="str">
        <x:v>FM-02-01</x:v>
      </x:c>
      <x:c r="D204" t="str">
        <x:v>Ngoại thành</x:v>
      </x:c>
      <x:c r="E204" t="str">
        <x:v>Tiết kiệm</x:v>
      </x:c>
      <x:c r="F204" t="n">
        <x:v>5</x:v>
      </x:c>
      <x:c r="G204" s="14" t="str">
        <x:f>IF(E204="","",IFERROR(VLOOKUP(E204,'02_Bang_gia'!$A$2:$D$13,4,FALSE),"KHÔNG TÌM THẤY"))</x:f>
        <x:v>KHÔNG TÌM THẤY</x:v>
      </x:c>
      <x:c r="H204" s="14" t="str">
        <x:f>IF(ISNUMBER(G204),G204*F204,"")</x:f>
      </x:c>
      <x:c r="I204" t="str">
        <x:v>Đã giao</x:v>
      </x:c>
      <x:c r="J204" s="16" t="n">
        <x:v>46222</x:v>
      </x:c>
      <x:c r="K204" t="str"/>
    </x:row>
    <x:row r="205">
      <x:c r="A205" t="str">
        <x:v>FM20260700204</x:v>
      </x:c>
      <x:c r="B205" s="16" t="n">
        <x:v>46221</x:v>
      </x:c>
      <x:c r="C205" t="str">
        <x:v>FM-02-04</x:v>
      </x:c>
      <x:c r="D205" t="str">
        <x:v>Ngoại thành</x:v>
      </x:c>
      <x:c r="E205" t="str">
        <x:v>COD</x:v>
      </x:c>
      <x:c r="F205" t="n">
        <x:v>3</x:v>
      </x:c>
      <x:c r="G205" s="14" t="str">
        <x:f>IF(E205="","",IFERROR(VLOOKUP(E205,'02_Bang_gia'!$A$2:$D$13,4,FALSE),"KHÔNG TÌM THẤY"))</x:f>
        <x:v>KHÔNG TÌM THẤY</x:v>
      </x:c>
      <x:c r="H205" s="14" t="str">
        <x:f>IF(ISNUMBER(G205),G205*F205,"")</x:f>
      </x:c>
      <x:c r="I205" t="str">
        <x:v>Đã giao</x:v>
      </x:c>
      <x:c r="J205" s="16" t="n">
        <x:v>46222</x:v>
      </x:c>
      <x:c r="K205" t="str"/>
    </x:row>
    <x:row r="206">
      <x:c r="A206" t="str">
        <x:v>FM20260700205</x:v>
      </x:c>
      <x:c r="B206" s="16" t="n">
        <x:v>46222</x:v>
      </x:c>
      <x:c r="C206" t="str">
        <x:v>FM-02-01</x:v>
      </x:c>
      <x:c r="D206" t="str">
        <x:v>Ngoại thành</x:v>
      </x:c>
      <x:c r="E206" t="str">
        <x:v>Tiết kiệm</x:v>
      </x:c>
      <x:c r="F206" t="n">
        <x:v>1.5</x:v>
      </x:c>
      <x:c r="G206" s="14" t="str">
        <x:f>IF(E206="","",IFERROR(VLOOKUP(E206,'02_Bang_gia'!$A$2:$D$13,4,FALSE),"KHÔNG TÌM THẤY"))</x:f>
        <x:v>KHÔNG TÌM THẤY</x:v>
      </x:c>
      <x:c r="H206" s="14" t="str">
        <x:f>IF(ISNUMBER(G206),G206*F206,"")</x:f>
      </x:c>
      <x:c r="I206" t="str">
        <x:v>Đã giao</x:v>
      </x:c>
      <x:c r="J206" s="16" t="n">
        <x:v>46226</x:v>
      </x:c>
      <x:c r="K206" t="str"/>
    </x:row>
    <x:row r="207">
      <x:c r="A207" t="str">
        <x:v>FM20260700206</x:v>
      </x:c>
      <x:c r="B207" s="16" t="n">
        <x:v>46223</x:v>
      </x:c>
      <x:c r="C207" t="str">
        <x:v>FM-01-03</x:v>
      </x:c>
      <x:c r="D207" t="str">
        <x:v>Nội thành</x:v>
      </x:c>
      <x:c r="E207" t="str">
        <x:v>Hỏa tốc</x:v>
      </x:c>
      <x:c r="F207" t="n">
        <x:v>1.5</x:v>
      </x:c>
      <x:c r="G207" s="14" t="str">
        <x:f>IF(E207="","",IFERROR(VLOOKUP(E207,'02_Bang_gia'!$A$2:$D$13,4,FALSE),"KHÔNG TÌM THẤY"))</x:f>
        <x:v>KHÔNG TÌM THẤY</x:v>
      </x:c>
      <x:c r="H207" s="14" t="str">
        <x:f>IF(ISNUMBER(G207),G207*F207,"")</x:f>
      </x:c>
      <x:c r="I207" t="str">
        <x:v>Giao thất bại</x:v>
      </x:c>
      <x:c r="J207" s="16"/>
      <x:c r="K207" t="str"/>
    </x:row>
    <x:row r="208">
      <x:c r="A208" t="str">
        <x:v>FM20260700207</x:v>
      </x:c>
      <x:c r="B208" s="16" t="n">
        <x:v>46224</x:v>
      </x:c>
      <x:c r="C208" t="str">
        <x:v>FM-02-04</x:v>
      </x:c>
      <x:c r="D208" t="str">
        <x:v>Ngoại thành</x:v>
      </x:c>
      <x:c r="E208" t="str">
        <x:v>COD</x:v>
      </x:c>
      <x:c r="F208" t="n">
        <x:v>2</x:v>
      </x:c>
      <x:c r="G208" s="14" t="str">
        <x:f>IF(E208="","",IFERROR(VLOOKUP(E208,'02_Bang_gia'!$A$2:$D$13,4,FALSE),"KHÔNG TÌM THẤY"))</x:f>
        <x:v>KHÔNG TÌM THẤY</x:v>
      </x:c>
      <x:c r="H208" s="14" t="str">
        <x:f>IF(ISNUMBER(G208),G208*F208,"")</x:f>
      </x:c>
      <x:c r="I208" t="str">
        <x:v>Đã giao</x:v>
      </x:c>
      <x:c r="J208" s="16" t="n">
        <x:v>46225</x:v>
      </x:c>
      <x:c r="K208" t="str"/>
    </x:row>
    <x:row r="209">
      <x:c r="A209" t="str">
        <x:v>FM20260700208</x:v>
      </x:c>
      <x:c r="B209" s="16" t="n">
        <x:v>46225</x:v>
      </x:c>
      <x:c r="C209" t="str">
        <x:v>FM-02-04</x:v>
      </x:c>
      <x:c r="D209" t="str">
        <x:v>Ngoại thành</x:v>
      </x:c>
      <x:c r="E209" t="str">
        <x:v>COD</x:v>
      </x:c>
      <x:c r="F209" t="n">
        <x:v>1</x:v>
      </x:c>
      <x:c r="G209" s="14" t="str">
        <x:f>IF(E209="","",IFERROR(VLOOKUP(E209,'02_Bang_gia'!$A$2:$D$13,4,FALSE),"KHÔNG TÌM THẤY"))</x:f>
        <x:v>KHÔNG TÌM THẤY</x:v>
      </x:c>
      <x:c r="H209" s="14" t="str">
        <x:f>IF(ISNUMBER(G209),G209*F209,"")</x:f>
      </x:c>
      <x:c r="I209" t="str">
        <x:v>Đã giao</x:v>
      </x:c>
      <x:c r="J209" s="16" t="n">
        <x:v>46226</x:v>
      </x:c>
      <x:c r="K209" t="str"/>
    </x:row>
    <x:row r="210">
      <x:c r="A210" t="str">
        <x:v>FM20260700209</x:v>
      </x:c>
      <x:c r="B210" s="16" t="n">
        <x:v>46226</x:v>
      </x:c>
      <x:c r="C210" t="str">
        <x:v>FM-01-03</x:v>
      </x:c>
      <x:c r="D210" t="str">
        <x:v>Nội thành</x:v>
      </x:c>
      <x:c r="E210" t="str">
        <x:v>Hỏa tốc</x:v>
      </x:c>
      <x:c r="F210" t="n">
        <x:v>1.5</x:v>
      </x:c>
      <x:c r="G210" s="14" t="str">
        <x:f>IF(E210="","",IFERROR(VLOOKUP(E210,'02_Bang_gia'!$A$2:$D$13,4,FALSE),"KHÔNG TÌM THẤY"))</x:f>
        <x:v>KHÔNG TÌM THẤY</x:v>
      </x:c>
      <x:c r="H210" s="14" t="str">
        <x:f>IF(ISNUMBER(G210),G210*F210,"")</x:f>
      </x:c>
      <x:c r="I210" t="str">
        <x:v>Đang giao</x:v>
      </x:c>
      <x:c r="J210" s="16"/>
      <x:c r="K210" t="str"/>
    </x:row>
    <x:row r="211">
      <x:c r="A211" t="str">
        <x:v>FM20260700210</x:v>
      </x:c>
      <x:c r="B211" s="16" t="n">
        <x:v>46227</x:v>
      </x:c>
      <x:c r="C211" t="str">
        <x:v>FM-01-02</x:v>
      </x:c>
      <x:c r="D211" t="str">
        <x:v>Nội thành</x:v>
      </x:c>
      <x:c r="E211" t="str">
        <x:v>Tiêu chuẩn</x:v>
      </x:c>
      <x:c r="F211" t="n">
        <x:v>0.5</x:v>
      </x:c>
      <x:c r="G211" s="14" t="str">
        <x:f>IF(E211="","",IFERROR(VLOOKUP(E211,'02_Bang_gia'!$A$2:$D$13,4,FALSE),"KHÔNG TÌM THẤY"))</x:f>
        <x:v>KHÔNG TÌM THẤY</x:v>
      </x:c>
      <x:c r="H211" s="14" t="str">
        <x:f>IF(ISNUMBER(G211),G211*F211,"")</x:f>
      </x:c>
      <x:c r="I211" t="str">
        <x:v>Giao thất bại</x:v>
      </x:c>
      <x:c r="J211" s="16"/>
      <x:c r="K211" t="str"/>
    </x:row>
    <x:row r="212">
      <x:c r="A212" t="str">
        <x:v>FM20260700211</x:v>
      </x:c>
      <x:c r="B212" s="16" t="n">
        <x:v>46228</x:v>
      </x:c>
      <x:c r="C212" t="str">
        <x:v>FM-03-01</x:v>
      </x:c>
      <x:c r="D212" t="str">
        <x:v>Liên tỉnh</x:v>
      </x:c>
      <x:c r="E212" t="str">
        <x:v>Tiết kiệm</x:v>
      </x:c>
      <x:c r="F212" t="n">
        <x:v>3</x:v>
      </x:c>
      <x:c r="G212" s="14" t="str">
        <x:f>IF(E212="","",IFERROR(VLOOKUP(E212,'02_Bang_gia'!$A$2:$D$13,4,FALSE),"KHÔNG TÌM THẤY"))</x:f>
        <x:v>KHÔNG TÌM THẤY</x:v>
      </x:c>
      <x:c r="H212" s="14" t="str">
        <x:f>IF(ISNUMBER(G212),G212*F212,"")</x:f>
      </x:c>
      <x:c r="I212" t="str">
        <x:v>Đã giao</x:v>
      </x:c>
      <x:c r="J212" s="16" t="n">
        <x:v>46230</x:v>
      </x:c>
      <x:c r="K212" t="str"/>
    </x:row>
    <x:row r="213">
      <x:c r="A213" t="str">
        <x:v>FM20260700212</x:v>
      </x:c>
      <x:c r="B213" s="16" t="n">
        <x:v>46229</x:v>
      </x:c>
      <x:c r="C213" t="str">
        <x:v>FM-02-03</x:v>
      </x:c>
      <x:c r="D213" t="str">
        <x:v>Ngoại thành</x:v>
      </x:c>
      <x:c r="E213" t="str">
        <x:v>Hỏa tốc</x:v>
      </x:c>
      <x:c r="F213" t="n">
        <x:v>1.5</x:v>
      </x:c>
      <x:c r="G213" s="14" t="str">
        <x:f>IF(E213="","",IFERROR(VLOOKUP(E213,'02_Bang_gia'!$A$2:$D$13,4,FALSE),"KHÔNG TÌM THẤY"))</x:f>
        <x:v>KHÔNG TÌM THẤY</x:v>
      </x:c>
      <x:c r="H213" s="14" t="str">
        <x:f>IF(ISNUMBER(G213),G213*F213,"")</x:f>
      </x:c>
      <x:c r="I213" t="str">
        <x:v>Đã giao</x:v>
      </x:c>
      <x:c r="J213" s="16" t="n">
        <x:v>46233</x:v>
      </x:c>
      <x:c r="K213" t="str"/>
    </x:row>
    <x:row r="214">
      <x:c r="A214" t="str">
        <x:v>FM20260700213</x:v>
      </x:c>
      <x:c r="B214" s="16" t="n">
        <x:v>46230</x:v>
      </x:c>
      <x:c r="C214" t="str">
        <x:v>FM-03-02</x:v>
      </x:c>
      <x:c r="D214" t="str">
        <x:v>Liên tỉnh</x:v>
      </x:c>
      <x:c r="E214" t="str">
        <x:v>Tiêu chuẩn</x:v>
      </x:c>
      <x:c r="F214" t="n">
        <x:v>1.5</x:v>
      </x:c>
      <x:c r="G214" s="14" t="str">
        <x:f>IF(E214="","",IFERROR(VLOOKUP(E214,'02_Bang_gia'!$A$2:$D$13,4,FALSE),"KHÔNG TÌM THẤY"))</x:f>
        <x:v>KHÔNG TÌM THẤY</x:v>
      </x:c>
      <x:c r="H214" s="14" t="str">
        <x:f>IF(ISNUMBER(G214),G214*F214,"")</x:f>
      </x:c>
      <x:c r="I214" t="str">
        <x:v>Giao thất bại</x:v>
      </x:c>
      <x:c r="J214" s="16"/>
      <x:c r="K214" t="str"/>
    </x:row>
    <x:row r="215">
      <x:c r="A215" t="str">
        <x:v>FM20260700214</x:v>
      </x:c>
      <x:c r="B215" s="16" t="n">
        <x:v>46231</x:v>
      </x:c>
      <x:c r="C215" t="str">
        <x:v>FM-03-02</x:v>
      </x:c>
      <x:c r="D215" t="str">
        <x:v>Liên tỉnh</x:v>
      </x:c>
      <x:c r="E215" t="str">
        <x:v>Tiêu chuẩn</x:v>
      </x:c>
      <x:c r="F215" t="n">
        <x:v>1</x:v>
      </x:c>
      <x:c r="G215" s="14" t="str">
        <x:f>IF(E215="","",IFERROR(VLOOKUP(E215,'02_Bang_gia'!$A$2:$D$13,4,FALSE),"KHÔNG TÌM THẤY"))</x:f>
        <x:v>KHÔNG TÌM THẤY</x:v>
      </x:c>
      <x:c r="H215" s="14" t="str">
        <x:f>IF(ISNUMBER(G215),G215*F215,"")</x:f>
      </x:c>
      <x:c r="I215" t="str">
        <x:v>Đã giao</x:v>
      </x:c>
      <x:c r="J215" s="16" t="n">
        <x:v>46232</x:v>
      </x:c>
      <x:c r="K215" t="str"/>
    </x:row>
    <x:row r="216">
      <x:c r="A216" t="str">
        <x:v>FM20260700215</x:v>
      </x:c>
      <x:c r="B216" s="16" t="n">
        <x:v>46232</x:v>
      </x:c>
      <x:c r="C216" t="str">
        <x:v>FM-03-03</x:v>
      </x:c>
      <x:c r="D216" t="str">
        <x:v>Liên tỉnh</x:v>
      </x:c>
      <x:c r="E216" t="str">
        <x:v>Hỏa tốc</x:v>
      </x:c>
      <x:c r="F216" t="n">
        <x:v>1</x:v>
      </x:c>
      <x:c r="G216" s="14" t="str">
        <x:f>IF(E216="","",IFERROR(VLOOKUP(E216,'02_Bang_gia'!$A$2:$D$13,4,FALSE),"KHÔNG TÌM THẤY"))</x:f>
        <x:v>KHÔNG TÌM THẤY</x:v>
      </x:c>
      <x:c r="H216" s="14" t="str">
        <x:f>IF(ISNUMBER(G216),G216*F216,"")</x:f>
      </x:c>
      <x:c r="I216" t="str">
        <x:v>Đã giao</x:v>
      </x:c>
      <x:c r="J216" s="16" t="n">
        <x:v>46233</x:v>
      </x:c>
      <x:c r="K216" t="str"/>
    </x:row>
    <x:row r="217">
      <x:c r="A217" t="str">
        <x:v>FM20260700216</x:v>
      </x:c>
      <x:c r="B217" s="16" t="n">
        <x:v>46233</x:v>
      </x:c>
      <x:c r="C217" t="str">
        <x:v>FM-01-04</x:v>
      </x:c>
      <x:c r="D217" t="str">
        <x:v>Nội thành</x:v>
      </x:c>
      <x:c r="E217" t="str">
        <x:v>COD</x:v>
      </x:c>
      <x:c r="F217" t="n">
        <x:v>1</x:v>
      </x:c>
      <x:c r="G217" s="14" t="str">
        <x:f>IF(E217="","",IFERROR(VLOOKUP(E217,'02_Bang_gia'!$A$2:$D$13,4,FALSE),"KHÔNG TÌM THẤY"))</x:f>
        <x:v>KHÔNG TÌM THẤY</x:v>
      </x:c>
      <x:c r="H217" s="14" t="str">
        <x:f>IF(ISNUMBER(G217),G217*F217,"")</x:f>
      </x:c>
      <x:c r="I217" t="str">
        <x:v>Đã giao</x:v>
      </x:c>
      <x:c r="J217" s="16" t="n">
        <x:v>46234</x:v>
      </x:c>
      <x:c r="K217" t="str"/>
    </x:row>
    <x:row r="218">
      <x:c r="A218" t="str">
        <x:v>FM20260700217</x:v>
      </x:c>
      <x:c r="B218" s="16" t="n">
        <x:v>46234</x:v>
      </x:c>
      <x:c r="C218" t="str">
        <x:v>FM-01-01</x:v>
      </x:c>
      <x:c r="D218" t="str">
        <x:v>Nội thành</x:v>
      </x:c>
      <x:c r="E218" t="str">
        <x:v>Tiết kiệm</x:v>
      </x:c>
      <x:c r="F218" t="n">
        <x:v>1.5</x:v>
      </x:c>
      <x:c r="G218" s="14" t="str">
        <x:f>IF(E218="","",IFERROR(VLOOKUP(E218,'02_Bang_gia'!$A$2:$D$13,4,FALSE),"KHÔNG TÌM THẤY"))</x:f>
        <x:v>KHÔNG TÌM THẤY</x:v>
      </x:c>
      <x:c r="H218" s="14" t="str">
        <x:f>IF(ISNUMBER(G218),G218*F218,"")</x:f>
      </x:c>
      <x:c r="I218" t="str">
        <x:v>Đã giao</x:v>
      </x:c>
      <x:c r="J218" s="16" t="n">
        <x:v>46238</x:v>
      </x:c>
      <x:c r="K218" t="str"/>
    </x:row>
    <x:row r="219">
      <x:c r="A219" t="str">
        <x:v>FM20260700218</x:v>
      </x:c>
      <x:c r="B219" s="16" t="n">
        <x:v>46204</x:v>
      </x:c>
      <x:c r="C219" t="str">
        <x:v>FM-01-01</x:v>
      </x:c>
      <x:c r="D219" t="str">
        <x:v>Nội thành</x:v>
      </x:c>
      <x:c r="E219" t="str">
        <x:v>Tiết kiệm</x:v>
      </x:c>
      <x:c r="F219" t="n">
        <x:v>5</x:v>
      </x:c>
      <x:c r="G219" s="14" t="str">
        <x:f>IF(E219="","",IFERROR(VLOOKUP(E219,'02_Bang_gia'!$A$2:$D$13,4,FALSE),"KHÔNG TÌM THẤY"))</x:f>
        <x:v>KHÔNG TÌM THẤY</x:v>
      </x:c>
      <x:c r="H219" s="14" t="str">
        <x:f>IF(ISNUMBER(G219),G219*F219,"")</x:f>
      </x:c>
      <x:c r="I219" t="str">
        <x:v>Đã giao</x:v>
      </x:c>
      <x:c r="J219" s="16" t="n">
        <x:v>46207</x:v>
      </x:c>
      <x:c r="K219" t="str"/>
    </x:row>
    <x:row r="220">
      <x:c r="A220" t="str">
        <x:v>FM20260700219</x:v>
      </x:c>
      <x:c r="B220" s="16" t="n">
        <x:v>46205</x:v>
      </x:c>
      <x:c r="C220" t="str">
        <x:v>FM-02-04</x:v>
      </x:c>
      <x:c r="D220" t="str">
        <x:v>Ngoại thành</x:v>
      </x:c>
      <x:c r="E220" t="str">
        <x:v>COD</x:v>
      </x:c>
      <x:c r="F220" t="n">
        <x:v>1.5</x:v>
      </x:c>
      <x:c r="G220" s="14" t="str">
        <x:f>IF(E220="","",IFERROR(VLOOKUP(E220,'02_Bang_gia'!$A$2:$D$13,4,FALSE),"KHÔNG TÌM THẤY"))</x:f>
        <x:v>KHÔNG TÌM THẤY</x:v>
      </x:c>
      <x:c r="H220" s="14" t="str">
        <x:f>IF(ISNUMBER(G220),G220*F220,"")</x:f>
      </x:c>
      <x:c r="I220" t="str">
        <x:v>Đã giao</x:v>
      </x:c>
      <x:c r="J220" s="16" t="n">
        <x:v>46207</x:v>
      </x:c>
      <x:c r="K220" t="str"/>
    </x:row>
    <x:row r="221">
      <x:c r="A221" t="str">
        <x:v>FM20260700220</x:v>
      </x:c>
      <x:c r="B221" s="16" t="n">
        <x:v>46206</x:v>
      </x:c>
      <x:c r="C221" t="str">
        <x:v>FM-03-03</x:v>
      </x:c>
      <x:c r="D221" t="str">
        <x:v>Liên tỉnh</x:v>
      </x:c>
      <x:c r="E221" t="str">
        <x:v>Hỏa tốc</x:v>
      </x:c>
      <x:c r="F221" t="n">
        <x:v>2</x:v>
      </x:c>
      <x:c r="G221" s="14" t="str">
        <x:f>IF(E221="","",IFERROR(VLOOKUP(E221,'02_Bang_gia'!$A$2:$D$13,4,FALSE),"KHÔNG TÌM THẤY"))</x:f>
        <x:v>KHÔNG TÌM THẤY</x:v>
      </x:c>
      <x:c r="H221" s="14" t="str">
        <x:f>IF(ISNUMBER(G221),G221*F221,"")</x:f>
      </x:c>
      <x:c r="I221" t="str">
        <x:v>Đã giao</x:v>
      </x:c>
      <x:c r="J221" s="16" t="n">
        <x:v>46208</x:v>
      </x:c>
      <x:c r="K221" t="str"/>
    </x:row>
    <x:row r="222">
      <x:c r="A222" t="str">
        <x:v>FM20260700221</x:v>
      </x:c>
      <x:c r="B222" s="16" t="n">
        <x:v>46207</x:v>
      </x:c>
      <x:c r="C222" t="str">
        <x:v>FM-01-02</x:v>
      </x:c>
      <x:c r="D222" t="str">
        <x:v>Nội thành</x:v>
      </x:c>
      <x:c r="E222" t="str">
        <x:v>Tiêu chuẩn</x:v>
      </x:c>
      <x:c r="F222" t="n">
        <x:v>1.5</x:v>
      </x:c>
      <x:c r="G222" s="14" t="str">
        <x:f>IF(E222="","",IFERROR(VLOOKUP(E222,'02_Bang_gia'!$A$2:$D$13,4,FALSE),"KHÔNG TÌM THẤY"))</x:f>
        <x:v>KHÔNG TÌM THẤY</x:v>
      </x:c>
      <x:c r="H222" s="14" t="str">
        <x:f>IF(ISNUMBER(G222),G222*F222,"")</x:f>
      </x:c>
      <x:c r="I222" t="str">
        <x:v>Đã giao</x:v>
      </x:c>
      <x:c r="J222" s="16" t="n">
        <x:v>46209</x:v>
      </x:c>
      <x:c r="K222" t="str"/>
    </x:row>
    <x:row r="223">
      <x:c r="A223" t="str">
        <x:v>FM20260700222</x:v>
      </x:c>
      <x:c r="B223" s="16" t="n">
        <x:v>46208</x:v>
      </x:c>
      <x:c r="C223" t="str">
        <x:v>FM-01-03</x:v>
      </x:c>
      <x:c r="D223" t="str">
        <x:v>Nội thành</x:v>
      </x:c>
      <x:c r="E223" t="str">
        <x:v>Hỏa tốc</x:v>
      </x:c>
      <x:c r="F223" t="n">
        <x:v>1.5</x:v>
      </x:c>
      <x:c r="G223" s="14" t="str">
        <x:f>IF(E223="","",IFERROR(VLOOKUP(E223,'02_Bang_gia'!$A$2:$D$13,4,FALSE),"KHÔNG TÌM THẤY"))</x:f>
        <x:v>KHÔNG TÌM THẤY</x:v>
      </x:c>
      <x:c r="H223" s="14" t="str">
        <x:f>IF(ISNUMBER(G223),G223*F223,"")</x:f>
      </x:c>
      <x:c r="I223" t="str">
        <x:v>Đã giao</x:v>
      </x:c>
      <x:c r="J223" s="16" t="n">
        <x:v>46210</x:v>
      </x:c>
      <x:c r="K223" t="str"/>
    </x:row>
    <x:row r="224">
      <x:c r="A224" t="str">
        <x:v>FM20260700223</x:v>
      </x:c>
      <x:c r="B224" s="16" t="n">
        <x:v>46209</x:v>
      </x:c>
      <x:c r="C224" t="str">
        <x:v>FM-03-02</x:v>
      </x:c>
      <x:c r="D224" t="str">
        <x:v>Liên tỉnh</x:v>
      </x:c>
      <x:c r="E224" t="str">
        <x:v>Tiêu chuẩn</x:v>
      </x:c>
      <x:c r="F224" t="n">
        <x:v>2</x:v>
      </x:c>
      <x:c r="G224" s="14" t="str">
        <x:f>IF(E224="","",IFERROR(VLOOKUP(E224,'02_Bang_gia'!$A$2:$D$13,4,FALSE),"KHÔNG TÌM THẤY"))</x:f>
        <x:v>KHÔNG TÌM THẤY</x:v>
      </x:c>
      <x:c r="H224" s="14" t="str">
        <x:f>IF(ISNUMBER(G224),G224*F224,"")</x:f>
      </x:c>
      <x:c r="I224" t="str">
        <x:v>Đã giao</x:v>
      </x:c>
      <x:c r="J224" s="16" t="n">
        <x:v>46212</x:v>
      </x:c>
      <x:c r="K224" t="str"/>
    </x:row>
    <x:row r="225">
      <x:c r="A225" t="str">
        <x:v>FM20260700224</x:v>
      </x:c>
      <x:c r="B225" s="16" t="n">
        <x:v>46210</x:v>
      </x:c>
      <x:c r="C225" t="str">
        <x:v>FM-01-02</x:v>
      </x:c>
      <x:c r="D225" t="str">
        <x:v>Nội thành</x:v>
      </x:c>
      <x:c r="E225" t="str">
        <x:v>Tiêu chuẩn</x:v>
      </x:c>
      <x:c r="F225" t="n">
        <x:v>5</x:v>
      </x:c>
      <x:c r="G225" s="14" t="str">
        <x:f>IF(E225="","",IFERROR(VLOOKUP(E225,'02_Bang_gia'!$A$2:$D$13,4,FALSE),"KHÔNG TÌM THẤY"))</x:f>
        <x:v>KHÔNG TÌM THẤY</x:v>
      </x:c>
      <x:c r="H225" s="14" t="str">
        <x:f>IF(ISNUMBER(G225),G225*F225,"")</x:f>
      </x:c>
      <x:c r="I225" t="str">
        <x:v>Đã giao</x:v>
      </x:c>
      <x:c r="J225" s="16" t="n">
        <x:v>46213</x:v>
      </x:c>
      <x:c r="K225" t="str"/>
    </x:row>
    <x:row r="226">
      <x:c r="A226" t="str">
        <x:v>FM20260700225</x:v>
      </x:c>
      <x:c r="B226" s="16" t="n">
        <x:v>46211</x:v>
      </x:c>
      <x:c r="C226" t="str">
        <x:v>FM-02-03</x:v>
      </x:c>
      <x:c r="D226" t="str">
        <x:v>Ngoại thành</x:v>
      </x:c>
      <x:c r="E226" t="str">
        <x:v>Hỏa tốc</x:v>
      </x:c>
      <x:c r="F226" t="n">
        <x:v>3</x:v>
      </x:c>
      <x:c r="G226" s="14" t="str">
        <x:f>IF(E226="","",IFERROR(VLOOKUP(E226,'02_Bang_gia'!$A$2:$D$13,4,FALSE),"KHÔNG TÌM THẤY"))</x:f>
        <x:v>KHÔNG TÌM THẤY</x:v>
      </x:c>
      <x:c r="H226" s="14" t="str">
        <x:f>IF(ISNUMBER(G226),G226*F226,"")</x:f>
      </x:c>
      <x:c r="I226" t="str">
        <x:v>Giao thất bại</x:v>
      </x:c>
      <x:c r="J226" s="16"/>
      <x:c r="K226" t="str"/>
    </x:row>
    <x:row r="227">
      <x:c r="A227" t="str">
        <x:v>FM20260700226</x:v>
      </x:c>
      <x:c r="B227" s="16" t="n">
        <x:v>46212</x:v>
      </x:c>
      <x:c r="C227" t="str">
        <x:v>FM-03-01</x:v>
      </x:c>
      <x:c r="D227" t="str">
        <x:v>Liên tỉnh</x:v>
      </x:c>
      <x:c r="E227" t="str">
        <x:v>Tiết kiệm</x:v>
      </x:c>
      <x:c r="F227" t="n">
        <x:v>3</x:v>
      </x:c>
      <x:c r="G227" s="14" t="str">
        <x:f>IF(E227="","",IFERROR(VLOOKUP(E227,'02_Bang_gia'!$A$2:$D$13,4,FALSE),"KHÔNG TÌM THẤY"))</x:f>
        <x:v>KHÔNG TÌM THẤY</x:v>
      </x:c>
      <x:c r="H227" s="14" t="str">
        <x:f>IF(ISNUMBER(G227),G227*F227,"")</x:f>
      </x:c>
      <x:c r="I227" t="str">
        <x:v>Đã giao</x:v>
      </x:c>
      <x:c r="J227" s="16" t="n">
        <x:v>46213</x:v>
      </x:c>
      <x:c r="K227" t="str"/>
    </x:row>
    <x:row r="228">
      <x:c r="A228" t="str">
        <x:v>FM20260700227</x:v>
      </x:c>
      <x:c r="B228" s="16" t="n">
        <x:v>46213</x:v>
      </x:c>
      <x:c r="C228" t="str">
        <x:v>FM-01-01</x:v>
      </x:c>
      <x:c r="D228" t="str">
        <x:v>Nội thành</x:v>
      </x:c>
      <x:c r="E228" t="str">
        <x:v>Tiết kiệm</x:v>
      </x:c>
      <x:c r="F228" t="n">
        <x:v>5</x:v>
      </x:c>
      <x:c r="G228" s="14" t="str">
        <x:f>IF(E228="","",IFERROR(VLOOKUP(E228,'02_Bang_gia'!$A$2:$D$13,4,FALSE),"KHÔNG TÌM THẤY"))</x:f>
        <x:v>KHÔNG TÌM THẤY</x:v>
      </x:c>
      <x:c r="H228" s="14" t="str">
        <x:f>IF(ISNUMBER(G228),G228*F228,"")</x:f>
      </x:c>
      <x:c r="I228" t="str">
        <x:v>Đang giao</x:v>
      </x:c>
      <x:c r="J228" s="16"/>
      <x:c r="K228" t="str"/>
    </x:row>
    <x:row r="229">
      <x:c r="A229" t="str">
        <x:v>FM20260700228</x:v>
      </x:c>
      <x:c r="B229" s="16" t="n">
        <x:v>46214</x:v>
      </x:c>
      <x:c r="C229" t="str">
        <x:v>FM-02-02</x:v>
      </x:c>
      <x:c r="D229" t="str">
        <x:v>Ngoại thành</x:v>
      </x:c>
      <x:c r="E229" t="str">
        <x:v>Tiêu chuẩn</x:v>
      </x:c>
      <x:c r="F229" t="n">
        <x:v>0.5</x:v>
      </x:c>
      <x:c r="G229" s="14" t="str">
        <x:f>IF(E229="","",IFERROR(VLOOKUP(E229,'02_Bang_gia'!$A$2:$D$13,4,FALSE),"KHÔNG TÌM THẤY"))</x:f>
        <x:v>KHÔNG TÌM THẤY</x:v>
      </x:c>
      <x:c r="H229" s="14" t="str">
        <x:f>IF(ISNUMBER(G229),G229*F229,"")</x:f>
      </x:c>
      <x:c r="I229" t="str">
        <x:v>Đã giao</x:v>
      </x:c>
      <x:c r="J229" s="16" t="n">
        <x:v>46215</x:v>
      </x:c>
      <x:c r="K229" t="str"/>
    </x:row>
    <x:row r="230">
      <x:c r="A230" t="str">
        <x:v>FM20260700229</x:v>
      </x:c>
      <x:c r="B230" s="16" t="n">
        <x:v>46215</x:v>
      </x:c>
      <x:c r="C230" t="str">
        <x:v>FM-01-04</x:v>
      </x:c>
      <x:c r="D230" t="str">
        <x:v>Nội thành</x:v>
      </x:c>
      <x:c r="E230" t="str">
        <x:v>COD</x:v>
      </x:c>
      <x:c r="F230" t="n">
        <x:v>3</x:v>
      </x:c>
      <x:c r="G230" s="14" t="str">
        <x:f>IF(E230="","",IFERROR(VLOOKUP(E230,'02_Bang_gia'!$A$2:$D$13,4,FALSE),"KHÔNG TÌM THẤY"))</x:f>
        <x:v>KHÔNG TÌM THẤY</x:v>
      </x:c>
      <x:c r="H230" s="14" t="str">
        <x:f>IF(ISNUMBER(G230),G230*F230,"")</x:f>
      </x:c>
      <x:c r="I230" t="str">
        <x:v>Giao thất bại</x:v>
      </x:c>
      <x:c r="J230" s="16"/>
      <x:c r="K230" t="str"/>
    </x:row>
    <x:row r="231">
      <x:c r="A231" t="str">
        <x:v>FM20260700230</x:v>
      </x:c>
      <x:c r="B231" s="16" t="n">
        <x:v>46216</x:v>
      </x:c>
      <x:c r="C231" t="str">
        <x:v>FM-03-02</x:v>
      </x:c>
      <x:c r="D231" t="str">
        <x:v>Liên tỉnh</x:v>
      </x:c>
      <x:c r="E231" t="str">
        <x:v>Tiêu chuẩn</x:v>
      </x:c>
      <x:c r="F231" t="n">
        <x:v>5</x:v>
      </x:c>
      <x:c r="G231" s="14" t="str">
        <x:f>IF(E231="","",IFERROR(VLOOKUP(E231,'02_Bang_gia'!$A$2:$D$13,4,FALSE),"KHÔNG TÌM THẤY"))</x:f>
        <x:v>KHÔNG TÌM THẤY</x:v>
      </x:c>
      <x:c r="H231" s="14" t="str">
        <x:f>IF(ISNUMBER(G231),G231*F231,"")</x:f>
      </x:c>
      <x:c r="I231" t="str">
        <x:v>Giao thất bại</x:v>
      </x:c>
      <x:c r="J231" s="16"/>
      <x:c r="K231" t="str"/>
    </x:row>
    <x:row r="232">
      <x:c r="A232" t="str">
        <x:v>FM20260700231</x:v>
      </x:c>
      <x:c r="B232" s="16" t="n">
        <x:v>46217</x:v>
      </x:c>
      <x:c r="C232" t="str">
        <x:v>FM-02-01</x:v>
      </x:c>
      <x:c r="D232" t="str">
        <x:v>Ngoại thành</x:v>
      </x:c>
      <x:c r="E232" t="str">
        <x:v>Tiết kiệm</x:v>
      </x:c>
      <x:c r="F232" t="n">
        <x:v>2</x:v>
      </x:c>
      <x:c r="G232" s="14" t="str">
        <x:f>IF(E232="","",IFERROR(VLOOKUP(E232,'02_Bang_gia'!$A$2:$D$13,4,FALSE),"KHÔNG TÌM THẤY"))</x:f>
        <x:v>KHÔNG TÌM THẤY</x:v>
      </x:c>
      <x:c r="H232" s="14" t="str">
        <x:f>IF(ISNUMBER(G232),G232*F232,"")</x:f>
      </x:c>
      <x:c r="I232" t="str">
        <x:v>Đã giao</x:v>
      </x:c>
      <x:c r="J232" s="16" t="n">
        <x:v>46219</x:v>
      </x:c>
      <x:c r="K232" t="str"/>
    </x:row>
    <x:row r="233">
      <x:c r="A233" t="str">
        <x:v>FM20260700232</x:v>
      </x:c>
      <x:c r="B233" s="16" t="n">
        <x:v>46218</x:v>
      </x:c>
      <x:c r="C233" t="str">
        <x:v>FM-03-01</x:v>
      </x:c>
      <x:c r="D233" t="str">
        <x:v>Liên tỉnh</x:v>
      </x:c>
      <x:c r="E233" t="str">
        <x:v>Tiết kiệm</x:v>
      </x:c>
      <x:c r="F233" t="n">
        <x:v>1</x:v>
      </x:c>
      <x:c r="G233" s="14" t="str">
        <x:f>IF(E233="","",IFERROR(VLOOKUP(E233,'02_Bang_gia'!$A$2:$D$13,4,FALSE),"KHÔNG TÌM THẤY"))</x:f>
        <x:v>KHÔNG TÌM THẤY</x:v>
      </x:c>
      <x:c r="H233" s="14" t="str">
        <x:f>IF(ISNUMBER(G233),G233*F233,"")</x:f>
      </x:c>
      <x:c r="I233" t="str">
        <x:v>Đã giao</x:v>
      </x:c>
      <x:c r="J233" s="16" t="n">
        <x:v>46221</x:v>
      </x:c>
      <x:c r="K233" t="str"/>
    </x:row>
    <x:row r="234">
      <x:c r="A234" t="str">
        <x:v>FM20260700233</x:v>
      </x:c>
      <x:c r="B234" s="16" t="n">
        <x:v>46219</x:v>
      </x:c>
      <x:c r="C234" t="str">
        <x:v>FM-03-02</x:v>
      </x:c>
      <x:c r="D234" t="str">
        <x:v>Liên tỉnh</x:v>
      </x:c>
      <x:c r="E234" t="str">
        <x:v>Tiêu chuẩn</x:v>
      </x:c>
      <x:c r="F234" t="n">
        <x:v>0.5</x:v>
      </x:c>
      <x:c r="G234" s="14" t="str">
        <x:f>IF(E234="","",IFERROR(VLOOKUP(E234,'02_Bang_gia'!$A$2:$D$13,4,FALSE),"KHÔNG TÌM THẤY"))</x:f>
        <x:v>KHÔNG TÌM THẤY</x:v>
      </x:c>
      <x:c r="H234" s="14" t="str">
        <x:f>IF(ISNUMBER(G234),G234*F234,"")</x:f>
      </x:c>
      <x:c r="I234" t="str">
        <x:v>Đã giao</x:v>
      </x:c>
      <x:c r="J234" s="16" t="n">
        <x:v>46223</x:v>
      </x:c>
      <x:c r="K234" t="str"/>
    </x:row>
    <x:row r="235">
      <x:c r="A235" t="str">
        <x:v>FM20260700234</x:v>
      </x:c>
      <x:c r="B235" s="16" t="n">
        <x:v>46220</x:v>
      </x:c>
      <x:c r="C235" t="str">
        <x:v>FM-02-04</x:v>
      </x:c>
      <x:c r="D235" t="str">
        <x:v>Ngoại thành</x:v>
      </x:c>
      <x:c r="E235" t="str">
        <x:v>COD</x:v>
      </x:c>
      <x:c r="F235" t="n">
        <x:v>1.5</x:v>
      </x:c>
      <x:c r="G235" s="14" t="str">
        <x:f>IF(E235="","",IFERROR(VLOOKUP(E235,'02_Bang_gia'!$A$2:$D$13,4,FALSE),"KHÔNG TÌM THẤY"))</x:f>
        <x:v>KHÔNG TÌM THẤY</x:v>
      </x:c>
      <x:c r="H235" s="14" t="str">
        <x:f>IF(ISNUMBER(G235),G235*F235,"")</x:f>
      </x:c>
      <x:c r="I235" t="str">
        <x:v>Đã giao</x:v>
      </x:c>
      <x:c r="J235" s="16" t="n">
        <x:v>46223</x:v>
      </x:c>
      <x:c r="K235" t="str"/>
    </x:row>
    <x:row r="236">
      <x:c r="A236" t="str">
        <x:v>FM20260700235</x:v>
      </x:c>
      <x:c r="B236" s="16" t="n">
        <x:v>46221</x:v>
      </x:c>
      <x:c r="C236" t="str">
        <x:v>FM-03-03</x:v>
      </x:c>
      <x:c r="D236" t="str">
        <x:v>Liên tỉnh</x:v>
      </x:c>
      <x:c r="E236" t="str">
        <x:v>Hỏa tốc</x:v>
      </x:c>
      <x:c r="F236" t="n">
        <x:v>1.5</x:v>
      </x:c>
      <x:c r="G236" s="14" t="str">
        <x:f>IF(E236="","",IFERROR(VLOOKUP(E236,'02_Bang_gia'!$A$2:$D$13,4,FALSE),"KHÔNG TÌM THẤY"))</x:f>
        <x:v>KHÔNG TÌM THẤY</x:v>
      </x:c>
      <x:c r="H236" s="14" t="str">
        <x:f>IF(ISNUMBER(G236),G236*F236,"")</x:f>
      </x:c>
      <x:c r="I236" t="str">
        <x:v>Đã giao</x:v>
      </x:c>
      <x:c r="J236" s="16" t="n">
        <x:v>46223</x:v>
      </x:c>
      <x:c r="K236" t="str"/>
    </x:row>
    <x:row r="237">
      <x:c r="A237" t="str">
        <x:v>FM20260700236</x:v>
      </x:c>
      <x:c r="B237" s="16" t="n">
        <x:v>46222</x:v>
      </x:c>
      <x:c r="C237" t="str">
        <x:v>FM-02-03</x:v>
      </x:c>
      <x:c r="D237" t="str">
        <x:v>Ngoại thành</x:v>
      </x:c>
      <x:c r="E237" t="str">
        <x:v>Hỏa tốc</x:v>
      </x:c>
      <x:c r="F237" t="n">
        <x:v>5</x:v>
      </x:c>
      <x:c r="G237" s="14" t="str">
        <x:f>IF(E237="","",IFERROR(VLOOKUP(E237,'02_Bang_gia'!$A$2:$D$13,4,FALSE),"KHÔNG TÌM THẤY"))</x:f>
        <x:v>KHÔNG TÌM THẤY</x:v>
      </x:c>
      <x:c r="H237" s="14" t="str">
        <x:f>IF(ISNUMBER(G237),G237*F237,"")</x:f>
      </x:c>
      <x:c r="I237" t="str">
        <x:v>Đã giao</x:v>
      </x:c>
      <x:c r="J237" s="16" t="n">
        <x:v>46225</x:v>
      </x:c>
      <x:c r="K237" t="str"/>
    </x:row>
    <x:row r="238">
      <x:c r="A238" t="str">
        <x:v>FM20260700237</x:v>
      </x:c>
      <x:c r="B238" s="16" t="n">
        <x:v>46223</x:v>
      </x:c>
      <x:c r="C238" t="str">
        <x:v>FM-02-03</x:v>
      </x:c>
      <x:c r="D238" t="str">
        <x:v>Ngoại thành</x:v>
      </x:c>
      <x:c r="E238" t="str">
        <x:v>Hỏa tốc</x:v>
      </x:c>
      <x:c r="F238" t="n">
        <x:v>3</x:v>
      </x:c>
      <x:c r="G238" s="14" t="str">
        <x:f>IF(E238="","",IFERROR(VLOOKUP(E238,'02_Bang_gia'!$A$2:$D$13,4,FALSE),"KHÔNG TÌM THẤY"))</x:f>
        <x:v>KHÔNG TÌM THẤY</x:v>
      </x:c>
      <x:c r="H238" s="14" t="str">
        <x:f>IF(ISNUMBER(G238),G238*F238,"")</x:f>
      </x:c>
      <x:c r="I238" t="str">
        <x:v>Đang giao</x:v>
      </x:c>
      <x:c r="J238" s="16"/>
      <x:c r="K238" t="str"/>
    </x:row>
    <x:row r="239">
      <x:c r="A239" t="str">
        <x:v>FM20260700238</x:v>
      </x:c>
      <x:c r="B239" s="16" t="n">
        <x:v>46224</x:v>
      </x:c>
      <x:c r="C239" t="str">
        <x:v>FM-01-01</x:v>
      </x:c>
      <x:c r="D239" t="str">
        <x:v>Nội thành</x:v>
      </x:c>
      <x:c r="E239" t="str">
        <x:v>Tiết kiệm</x:v>
      </x:c>
      <x:c r="F239" t="n">
        <x:v>1.5</x:v>
      </x:c>
      <x:c r="G239" s="14" t="str">
        <x:f>IF(E239="","",IFERROR(VLOOKUP(E239,'02_Bang_gia'!$A$2:$D$13,4,FALSE),"KHÔNG TÌM THẤY"))</x:f>
        <x:v>KHÔNG TÌM THẤY</x:v>
      </x:c>
      <x:c r="H239" s="14" t="str">
        <x:f>IF(ISNUMBER(G239),G239*F239,"")</x:f>
      </x:c>
      <x:c r="I239" t="str">
        <x:v>Đã giao</x:v>
      </x:c>
      <x:c r="J239" s="16" t="n">
        <x:v>46227</x:v>
      </x:c>
      <x:c r="K239" t="str"/>
    </x:row>
    <x:row r="240">
      <x:c r="A240" t="str">
        <x:v>FM20260700239</x:v>
      </x:c>
      <x:c r="B240" s="16" t="n">
        <x:v>46225</x:v>
      </x:c>
      <x:c r="C240" t="str">
        <x:v>FM-02-02</x:v>
      </x:c>
      <x:c r="D240" t="str">
        <x:v>Ngoại thành</x:v>
      </x:c>
      <x:c r="E240" t="str">
        <x:v>Tiêu chuẩn</x:v>
      </x:c>
      <x:c r="F240" t="n">
        <x:v>3</x:v>
      </x:c>
      <x:c r="G240" s="14" t="str">
        <x:f>IF(E240="","",IFERROR(VLOOKUP(E240,'02_Bang_gia'!$A$2:$D$13,4,FALSE),"KHÔNG TÌM THẤY"))</x:f>
        <x:v>KHÔNG TÌM THẤY</x:v>
      </x:c>
      <x:c r="H240" s="14" t="str">
        <x:f>IF(ISNUMBER(G240),G240*F240,"")</x:f>
      </x:c>
      <x:c r="I240" t="str">
        <x:v>Đã giao</x:v>
      </x:c>
      <x:c r="J240" s="16" t="n">
        <x:v>46229</x:v>
      </x:c>
      <x:c r="K240" t="str"/>
    </x:row>
    <x:row r="241">
      <x:c r="A241" t="str">
        <x:v>FM20260700240</x:v>
      </x:c>
      <x:c r="B241" s="16" t="n">
        <x:v>46226</x:v>
      </x:c>
      <x:c r="C241" t="str">
        <x:v>FM-01-01</x:v>
      </x:c>
      <x:c r="D241" t="str">
        <x:v>Nội thành</x:v>
      </x:c>
      <x:c r="E241" t="str">
        <x:v>Tiết kiệm</x:v>
      </x:c>
      <x:c r="F241" t="n">
        <x:v>2</x:v>
      </x:c>
      <x:c r="G241" s="14" t="str">
        <x:f>IF(E241="","",IFERROR(VLOOKUP(E241,'02_Bang_gia'!$A$2:$D$13,4,FALSE),"KHÔNG TÌM THẤY"))</x:f>
        <x:v>KHÔNG TÌM THẤY</x:v>
      </x:c>
      <x:c r="H241" s="14" t="str">
        <x:f>IF(ISNUMBER(G241),G241*F241,"")</x:f>
      </x:c>
      <x:c r="I241" t="str">
        <x:v>Đã giao</x:v>
      </x:c>
      <x:c r="J241" s="16" t="n">
        <x:v>46230</x:v>
      </x:c>
      <x:c r="K241" t="str"/>
    </x:row>
    <x:row r="242">
      <x:c r="A242" t="str">
        <x:v>FM20260700241</x:v>
      </x:c>
      <x:c r="B242" s="16" t="n">
        <x:v>46227</x:v>
      </x:c>
      <x:c r="C242" t="str">
        <x:v>FM-01-01</x:v>
      </x:c>
      <x:c r="D242" t="str">
        <x:v>Nội thành</x:v>
      </x:c>
      <x:c r="E242" t="str">
        <x:v>Tiết kiệm</x:v>
      </x:c>
      <x:c r="F242" t="n">
        <x:v>3</x:v>
      </x:c>
      <x:c r="G242" s="14" t="str">
        <x:f>IF(E242="","",IFERROR(VLOOKUP(E242,'02_Bang_gia'!$A$2:$D$13,4,FALSE),"KHÔNG TÌM THẤY"))</x:f>
        <x:v>KHÔNG TÌM THẤY</x:v>
      </x:c>
      <x:c r="H242" s="14" t="str">
        <x:f>IF(ISNUMBER(G242),G242*F242,"")</x:f>
      </x:c>
      <x:c r="I242" t="str">
        <x:v>Đã giao</x:v>
      </x:c>
      <x:c r="J242" s="16" t="n">
        <x:v>46230</x:v>
      </x:c>
      <x:c r="K242" t="str"/>
    </x:row>
    <x:row r="243">
      <x:c r="A243" t="str">
        <x:v>FM20260700242</x:v>
      </x:c>
      <x:c r="B243" s="16" t="n">
        <x:v>46228</x:v>
      </x:c>
      <x:c r="C243" t="str">
        <x:v>FM-02-04</x:v>
      </x:c>
      <x:c r="D243" t="str">
        <x:v>Ngoại thành</x:v>
      </x:c>
      <x:c r="E243" t="str">
        <x:v>COD</x:v>
      </x:c>
      <x:c r="F243" t="n">
        <x:v>1</x:v>
      </x:c>
      <x:c r="G243" s="14" t="str">
        <x:f>IF(E243="","",IFERROR(VLOOKUP(E243,'02_Bang_gia'!$A$2:$D$13,4,FALSE),"KHÔNG TÌM THẤY"))</x:f>
        <x:v>KHÔNG TÌM THẤY</x:v>
      </x:c>
      <x:c r="H243" s="14" t="str">
        <x:f>IF(ISNUMBER(G243),G243*F243,"")</x:f>
      </x:c>
      <x:c r="I243" t="str">
        <x:v>Đã giao</x:v>
      </x:c>
      <x:c r="J243" s="16" t="n">
        <x:v>46229</x:v>
      </x:c>
      <x:c r="K243" t="str"/>
    </x:row>
    <x:row r="244">
      <x:c r="A244" t="str">
        <x:v>FM20260700243</x:v>
      </x:c>
      <x:c r="B244" s="16" t="n">
        <x:v>46229</x:v>
      </x:c>
      <x:c r="C244" t="str">
        <x:v>FM-02-01</x:v>
      </x:c>
      <x:c r="D244" t="str">
        <x:v>Ngoại thành</x:v>
      </x:c>
      <x:c r="E244" t="str">
        <x:v>Tiết kiệm</x:v>
      </x:c>
      <x:c r="F244" t="n">
        <x:v>2</x:v>
      </x:c>
      <x:c r="G244" s="14" t="str">
        <x:f>IF(E244="","",IFERROR(VLOOKUP(E244,'02_Bang_gia'!$A$2:$D$13,4,FALSE),"KHÔNG TÌM THẤY"))</x:f>
        <x:v>KHÔNG TÌM THẤY</x:v>
      </x:c>
      <x:c r="H244" s="14" t="str">
        <x:f>IF(ISNUMBER(G244),G244*F244,"")</x:f>
      </x:c>
      <x:c r="I244" t="str">
        <x:v>Đã giao</x:v>
      </x:c>
      <x:c r="J244" s="16" t="n">
        <x:v>46232</x:v>
      </x:c>
      <x:c r="K244" t="str"/>
    </x:row>
    <x:row r="245">
      <x:c r="A245" t="str">
        <x:v>FM20260700244</x:v>
      </x:c>
      <x:c r="B245" s="16" t="n">
        <x:v>46230</x:v>
      </x:c>
      <x:c r="C245" t="str">
        <x:v>FM-03-04</x:v>
      </x:c>
      <x:c r="D245" t="str">
        <x:v>Liên tỉnh</x:v>
      </x:c>
      <x:c r="E245" t="str">
        <x:v>COD</x:v>
      </x:c>
      <x:c r="F245" t="n">
        <x:v>5</x:v>
      </x:c>
      <x:c r="G245" s="14" t="str">
        <x:f>IF(E245="","",IFERROR(VLOOKUP(E245,'02_Bang_gia'!$A$2:$D$13,4,FALSE),"KHÔNG TÌM THẤY"))</x:f>
        <x:v>KHÔNG TÌM THẤY</x:v>
      </x:c>
      <x:c r="H245" s="14" t="str">
        <x:f>IF(ISNUMBER(G245),G245*F245,"")</x:f>
      </x:c>
      <x:c r="I245" t="str">
        <x:v>Đã giao</x:v>
      </x:c>
      <x:c r="J245" s="16" t="n">
        <x:v>46231</x:v>
      </x:c>
      <x:c r="K245" t="str"/>
    </x:row>
    <x:row r="246">
      <x:c r="A246" t="str">
        <x:v>FM20260700245</x:v>
      </x:c>
      <x:c r="B246" s="16" t="n">
        <x:v>46231</x:v>
      </x:c>
      <x:c r="C246" t="str">
        <x:v>FM-03-02</x:v>
      </x:c>
      <x:c r="D246" t="str">
        <x:v>Liên tỉnh</x:v>
      </x:c>
      <x:c r="E246" t="str">
        <x:v>Tiêu chuẩn</x:v>
      </x:c>
      <x:c r="F246" t="n">
        <x:v>5</x:v>
      </x:c>
      <x:c r="G246" s="14" t="str">
        <x:f>IF(E246="","",IFERROR(VLOOKUP(E246,'02_Bang_gia'!$A$2:$D$13,4,FALSE),"KHÔNG TÌM THẤY"))</x:f>
        <x:v>KHÔNG TÌM THẤY</x:v>
      </x:c>
      <x:c r="H246" s="14" t="str">
        <x:f>IF(ISNUMBER(G246),G246*F246,"")</x:f>
      </x:c>
      <x:c r="I246" t="str">
        <x:v>Đang giao</x:v>
      </x:c>
      <x:c r="J246" s="16"/>
      <x:c r="K246" t="str"/>
    </x:row>
    <x:row r="247">
      <x:c r="A247" t="str">
        <x:v>FM20260700246</x:v>
      </x:c>
      <x:c r="B247" s="16" t="n">
        <x:v>46232</x:v>
      </x:c>
      <x:c r="C247" t="str">
        <x:v>FM-01-03</x:v>
      </x:c>
      <x:c r="D247" t="str">
        <x:v>Nội thành</x:v>
      </x:c>
      <x:c r="E247" t="str">
        <x:v>Hỏa tốc</x:v>
      </x:c>
      <x:c r="F247" t="n">
        <x:v>3</x:v>
      </x:c>
      <x:c r="G247" s="14" t="str">
        <x:f>IF(E247="","",IFERROR(VLOOKUP(E247,'02_Bang_gia'!$A$2:$D$13,4,FALSE),"KHÔNG TÌM THẤY"))</x:f>
        <x:v>KHÔNG TÌM THẤY</x:v>
      </x:c>
      <x:c r="H247" s="14" t="str">
        <x:f>IF(ISNUMBER(G247),G247*F247,"")</x:f>
      </x:c>
      <x:c r="I247" t="str">
        <x:v>Đã giao</x:v>
      </x:c>
      <x:c r="J247" s="16" t="n">
        <x:v>46233</x:v>
      </x:c>
      <x:c r="K247" t="str"/>
    </x:row>
    <x:row r="248">
      <x:c r="A248" t="str">
        <x:v>FM20260700247</x:v>
      </x:c>
      <x:c r="B248" s="16" t="n">
        <x:v>46233</x:v>
      </x:c>
      <x:c r="C248" t="str">
        <x:v>FM-02-03</x:v>
      </x:c>
      <x:c r="D248" t="str">
        <x:v>Ngoại thành</x:v>
      </x:c>
      <x:c r="E248" t="str">
        <x:v>Hỏa tốc</x:v>
      </x:c>
      <x:c r="F248" t="n">
        <x:v>2</x:v>
      </x:c>
      <x:c r="G248" s="14" t="str">
        <x:f>IF(E248="","",IFERROR(VLOOKUP(E248,'02_Bang_gia'!$A$2:$D$13,4,FALSE),"KHÔNG TÌM THẤY"))</x:f>
        <x:v>KHÔNG TÌM THẤY</x:v>
      </x:c>
      <x:c r="H248" s="14" t="str">
        <x:f>IF(ISNUMBER(G248),G248*F248,"")</x:f>
      </x:c>
      <x:c r="I248" t="str">
        <x:v>Đã giao</x:v>
      </x:c>
      <x:c r="J248" s="16" t="n">
        <x:v>46234</x:v>
      </x:c>
      <x:c r="K248" t="str"/>
    </x:row>
    <x:row r="249">
      <x:c r="A249" t="str">
        <x:v>FM20260700248</x:v>
      </x:c>
      <x:c r="B249" s="16" t="n">
        <x:v>46234</x:v>
      </x:c>
      <x:c r="C249" t="str">
        <x:v>FM-01-02</x:v>
      </x:c>
      <x:c r="D249" t="str">
        <x:v>Nội thành</x:v>
      </x:c>
      <x:c r="E249" t="str">
        <x:v>Tiêu chuẩn</x:v>
      </x:c>
      <x:c r="F249" t="n">
        <x:v>2</x:v>
      </x:c>
      <x:c r="G249" s="14" t="str">
        <x:f>IF(E249="","",IFERROR(VLOOKUP(E249,'02_Bang_gia'!$A$2:$D$13,4,FALSE),"KHÔNG TÌM THẤY"))</x:f>
        <x:v>KHÔNG TÌM THẤY</x:v>
      </x:c>
      <x:c r="H249" s="14" t="str">
        <x:f>IF(ISNUMBER(G249),G249*F249,"")</x:f>
      </x:c>
      <x:c r="I249" t="str">
        <x:v>Đã giao</x:v>
      </x:c>
      <x:c r="J249" s="16" t="n">
        <x:v>46236</x:v>
      </x:c>
      <x:c r="K249" t="str"/>
    </x:row>
    <x:row r="250">
      <x:c r="A250" t="str">
        <x:v>FM20260700249</x:v>
      </x:c>
      <x:c r="B250" s="16" t="n">
        <x:v>46204</x:v>
      </x:c>
      <x:c r="C250" t="str">
        <x:v>FM-03-04</x:v>
      </x:c>
      <x:c r="D250" t="str">
        <x:v>Liên tỉnh</x:v>
      </x:c>
      <x:c r="E250" t="str">
        <x:v>COD</x:v>
      </x:c>
      <x:c r="F250" t="n">
        <x:v>2</x:v>
      </x:c>
      <x:c r="G250" s="14" t="str">
        <x:f>IF(E250="","",IFERROR(VLOOKUP(E250,'02_Bang_gia'!$A$2:$D$13,4,FALSE),"KHÔNG TÌM THẤY"))</x:f>
        <x:v>KHÔNG TÌM THẤY</x:v>
      </x:c>
      <x:c r="H250" s="14" t="str">
        <x:f>IF(ISNUMBER(G250),G250*F250,"")</x:f>
      </x:c>
      <x:c r="I250" t="str">
        <x:v>Đã giao</x:v>
      </x:c>
      <x:c r="J250" s="16" t="n">
        <x:v>46207</x:v>
      </x:c>
      <x:c r="K250" t="str"/>
    </x:row>
    <x:row r="251">
      <x:c r="A251" t="str">
        <x:v>FM20260700250</x:v>
      </x:c>
      <x:c r="B251" s="16" t="n">
        <x:v>46205</x:v>
      </x:c>
      <x:c r="C251" t="str">
        <x:v>FM-02-04</x:v>
      </x:c>
      <x:c r="D251" t="str">
        <x:v>Ngoại thành</x:v>
      </x:c>
      <x:c r="E251" t="str">
        <x:v>COD</x:v>
      </x:c>
      <x:c r="F251" t="n">
        <x:v>1</x:v>
      </x:c>
      <x:c r="G251" s="14" t="str">
        <x:f>IF(E251="","",IFERROR(VLOOKUP(E251,'02_Bang_gia'!$A$2:$D$13,4,FALSE),"KHÔNG TÌM THẤY"))</x:f>
        <x:v>KHÔNG TÌM THẤY</x:v>
      </x:c>
      <x:c r="H251" s="14" t="str">
        <x:f>IF(ISNUMBER(G251),G251*F251,"")</x:f>
      </x:c>
      <x:c r="I251" t="str">
        <x:v>Giao thất bại</x:v>
      </x:c>
      <x:c r="J251" s="16"/>
      <x:c r="K251" t="str"/>
    </x:row>
    <x:row r="252">
      <x:c r="A252" t="str">
        <x:v>FM20260700251</x:v>
      </x:c>
      <x:c r="B252" s="16" t="n">
        <x:v>46206</x:v>
      </x:c>
      <x:c r="C252" t="str">
        <x:v>FM-02-04</x:v>
      </x:c>
      <x:c r="D252" t="str">
        <x:v>Ngoại thành</x:v>
      </x:c>
      <x:c r="E252" t="str">
        <x:v>COD</x:v>
      </x:c>
      <x:c r="F252" t="n">
        <x:v>1</x:v>
      </x:c>
      <x:c r="G252" s="14" t="str">
        <x:f>IF(E252="","",IFERROR(VLOOKUP(E252,'02_Bang_gia'!$A$2:$D$13,4,FALSE),"KHÔNG TÌM THẤY"))</x:f>
        <x:v>KHÔNG TÌM THẤY</x:v>
      </x:c>
      <x:c r="H252" s="14" t="str">
        <x:f>IF(ISNUMBER(G252),G252*F252,"")</x:f>
      </x:c>
      <x:c r="I252" t="str">
        <x:v>Đã giao</x:v>
      </x:c>
      <x:c r="J252" s="16" t="n">
        <x:v>46210</x:v>
      </x:c>
      <x:c r="K252" t="str"/>
    </x:row>
    <x:row r="253">
      <x:c r="A253" t="str">
        <x:v>FM20260700252</x:v>
      </x:c>
      <x:c r="B253" s="16" t="n">
        <x:v>46207</x:v>
      </x:c>
      <x:c r="C253" t="str">
        <x:v>FM-03-02</x:v>
      </x:c>
      <x:c r="D253" t="str">
        <x:v>Liên tỉnh</x:v>
      </x:c>
      <x:c r="E253" t="str">
        <x:v>Tiêu chuẩn</x:v>
      </x:c>
      <x:c r="F253" t="n">
        <x:v>0.5</x:v>
      </x:c>
      <x:c r="G253" s="14" t="str">
        <x:f>IF(E253="","",IFERROR(VLOOKUP(E253,'02_Bang_gia'!$A$2:$D$13,4,FALSE),"KHÔNG TÌM THẤY"))</x:f>
        <x:v>KHÔNG TÌM THẤY</x:v>
      </x:c>
      <x:c r="H253" s="14" t="str">
        <x:f>IF(ISNUMBER(G253),G253*F253,"")</x:f>
      </x:c>
      <x:c r="I253" t="str">
        <x:v>Đã giao</x:v>
      </x:c>
      <x:c r="J253" s="16" t="n">
        <x:v>46209</x:v>
      </x:c>
      <x:c r="K253" t="str"/>
    </x:row>
    <x:row r="254">
      <x:c r="A254" t="str">
        <x:v>FM20260700253</x:v>
      </x:c>
      <x:c r="B254" s="16" t="n">
        <x:v>46208</x:v>
      </x:c>
      <x:c r="C254" t="str">
        <x:v>FM-02-01</x:v>
      </x:c>
      <x:c r="D254" t="str">
        <x:v>Ngoại thành</x:v>
      </x:c>
      <x:c r="E254" t="str">
        <x:v>Tiết kiệm</x:v>
      </x:c>
      <x:c r="F254" t="n">
        <x:v>1.5</x:v>
      </x:c>
      <x:c r="G254" s="14" t="str">
        <x:f>IF(E254="","",IFERROR(VLOOKUP(E254,'02_Bang_gia'!$A$2:$D$13,4,FALSE),"KHÔNG TÌM THẤY"))</x:f>
        <x:v>KHÔNG TÌM THẤY</x:v>
      </x:c>
      <x:c r="H254" s="14" t="str">
        <x:f>IF(ISNUMBER(G254),G254*F254,"")</x:f>
      </x:c>
      <x:c r="I254" t="str">
        <x:v>Đã giao</x:v>
      </x:c>
      <x:c r="J254" s="16" t="n">
        <x:v>46212</x:v>
      </x:c>
      <x:c r="K254" t="str"/>
    </x:row>
    <x:row r="255">
      <x:c r="A255" t="str">
        <x:v>FM20260700254</x:v>
      </x:c>
      <x:c r="B255" s="16" t="n">
        <x:v>46209</x:v>
      </x:c>
      <x:c r="C255" t="str">
        <x:v>FM-03-01</x:v>
      </x:c>
      <x:c r="D255" t="str">
        <x:v>Liên tỉnh</x:v>
      </x:c>
      <x:c r="E255" t="str">
        <x:v>Tiết kiệm</x:v>
      </x:c>
      <x:c r="F255" t="n">
        <x:v>1.5</x:v>
      </x:c>
      <x:c r="G255" s="14" t="str">
        <x:f>IF(E255="","",IFERROR(VLOOKUP(E255,'02_Bang_gia'!$A$2:$D$13,4,FALSE),"KHÔNG TÌM THẤY"))</x:f>
        <x:v>KHÔNG TÌM THẤY</x:v>
      </x:c>
      <x:c r="H255" s="14" t="str">
        <x:f>IF(ISNUMBER(G255),G255*F255,"")</x:f>
      </x:c>
      <x:c r="I255" t="str">
        <x:v>Đã giao</x:v>
      </x:c>
      <x:c r="J255" s="16" t="n">
        <x:v>46210</x:v>
      </x:c>
      <x:c r="K255" t="str"/>
    </x:row>
    <x:row r="256">
      <x:c r="A256" t="str">
        <x:v>FM20260700255</x:v>
      </x:c>
      <x:c r="B256" s="16" t="n">
        <x:v>46210</x:v>
      </x:c>
      <x:c r="C256" t="str">
        <x:v>FM-03-04</x:v>
      </x:c>
      <x:c r="D256" t="str">
        <x:v>Liên tỉnh</x:v>
      </x:c>
      <x:c r="E256" t="str">
        <x:v>COD</x:v>
      </x:c>
      <x:c r="F256" t="n">
        <x:v>1</x:v>
      </x:c>
      <x:c r="G256" s="14" t="str">
        <x:f>IF(E256="","",IFERROR(VLOOKUP(E256,'02_Bang_gia'!$A$2:$D$13,4,FALSE),"KHÔNG TÌM THẤY"))</x:f>
        <x:v>KHÔNG TÌM THẤY</x:v>
      </x:c>
      <x:c r="H256" s="14" t="str">
        <x:f>IF(ISNUMBER(G256),G256*F256,"")</x:f>
      </x:c>
      <x:c r="I256" t="str">
        <x:v>Đã giao</x:v>
      </x:c>
      <x:c r="J256" s="16" t="n">
        <x:v>46214</x:v>
      </x:c>
      <x:c r="K256" t="str"/>
    </x:row>
    <x:row r="257">
      <x:c r="A257" t="str">
        <x:v>FM20260700256</x:v>
      </x:c>
      <x:c r="B257" s="16" t="n">
        <x:v>46211</x:v>
      </x:c>
      <x:c r="C257" t="str">
        <x:v>FM-02-04</x:v>
      </x:c>
      <x:c r="D257" t="str">
        <x:v>Ngoại thành</x:v>
      </x:c>
      <x:c r="E257" t="str">
        <x:v>COD</x:v>
      </x:c>
      <x:c r="F257" t="n">
        <x:v>1.5</x:v>
      </x:c>
      <x:c r="G257" s="14" t="str">
        <x:f>IF(E257="","",IFERROR(VLOOKUP(E257,'02_Bang_gia'!$A$2:$D$13,4,FALSE),"KHÔNG TÌM THẤY"))</x:f>
        <x:v>KHÔNG TÌM THẤY</x:v>
      </x:c>
      <x:c r="H257" s="14" t="str">
        <x:f>IF(ISNUMBER(G257),G257*F257,"")</x:f>
      </x:c>
      <x:c r="I257" t="str">
        <x:v>Đã giao</x:v>
      </x:c>
      <x:c r="J257" s="16" t="n">
        <x:v>46214</x:v>
      </x:c>
      <x:c r="K257" t="str"/>
    </x:row>
    <x:row r="258">
      <x:c r="A258" t="str">
        <x:v>FM20260700257</x:v>
      </x:c>
      <x:c r="B258" s="16" t="n">
        <x:v>46212</x:v>
      </x:c>
      <x:c r="C258" t="str">
        <x:v>FM-03-01</x:v>
      </x:c>
      <x:c r="D258" t="str">
        <x:v>Liên tỉnh</x:v>
      </x:c>
      <x:c r="E258" t="str">
        <x:v>Tiết kiệm</x:v>
      </x:c>
      <x:c r="F258" t="n">
        <x:v>2</x:v>
      </x:c>
      <x:c r="G258" s="14" t="str">
        <x:f>IF(E258="","",IFERROR(VLOOKUP(E258,'02_Bang_gia'!$A$2:$D$13,4,FALSE),"KHÔNG TÌM THẤY"))</x:f>
        <x:v>KHÔNG TÌM THẤY</x:v>
      </x:c>
      <x:c r="H258" s="14" t="str">
        <x:f>IF(ISNUMBER(G258),G258*F258,"")</x:f>
      </x:c>
      <x:c r="I258" t="str">
        <x:v>Đã giao</x:v>
      </x:c>
      <x:c r="J258" s="16" t="n">
        <x:v>46216</x:v>
      </x:c>
      <x:c r="K258" t="str"/>
    </x:row>
    <x:row r="259">
      <x:c r="A259" t="str">
        <x:v>FM20260700258</x:v>
      </x:c>
      <x:c r="B259" s="16" t="n">
        <x:v>46213</x:v>
      </x:c>
      <x:c r="C259" t="str">
        <x:v>FM-02-02</x:v>
      </x:c>
      <x:c r="D259" t="str">
        <x:v>Ngoại thành</x:v>
      </x:c>
      <x:c r="E259" t="str">
        <x:v>Tiêu chuẩn</x:v>
      </x:c>
      <x:c r="F259" t="n">
        <x:v>5</x:v>
      </x:c>
      <x:c r="G259" s="14" t="str">
        <x:f>IF(E259="","",IFERROR(VLOOKUP(E259,'02_Bang_gia'!$A$2:$D$13,4,FALSE),"KHÔNG TÌM THẤY"))</x:f>
        <x:v>KHÔNG TÌM THẤY</x:v>
      </x:c>
      <x:c r="H259" s="14" t="str">
        <x:f>IF(ISNUMBER(G259),G259*F259,"")</x:f>
      </x:c>
      <x:c r="I259" t="str">
        <x:v>Đang giao</x:v>
      </x:c>
      <x:c r="J259" s="16"/>
      <x:c r="K259" t="str"/>
    </x:row>
    <x:row r="260">
      <x:c r="A260" t="str">
        <x:v>FM20260700259</x:v>
      </x:c>
      <x:c r="B260" s="16" t="n">
        <x:v>46214</x:v>
      </x:c>
      <x:c r="C260" t="str">
        <x:v>FM-01-04</x:v>
      </x:c>
      <x:c r="D260" t="str">
        <x:v>Nội thành</x:v>
      </x:c>
      <x:c r="E260" t="str">
        <x:v>COD</x:v>
      </x:c>
      <x:c r="F260" t="n">
        <x:v>2</x:v>
      </x:c>
      <x:c r="G260" s="14" t="str">
        <x:f>IF(E260="","",IFERROR(VLOOKUP(E260,'02_Bang_gia'!$A$2:$D$13,4,FALSE),"KHÔNG TÌM THẤY"))</x:f>
        <x:v>KHÔNG TÌM THẤY</x:v>
      </x:c>
      <x:c r="H260" s="14" t="str">
        <x:f>IF(ISNUMBER(G260),G260*F260,"")</x:f>
      </x:c>
      <x:c r="I260" t="str">
        <x:v>Đã giao</x:v>
      </x:c>
      <x:c r="J260" s="16" t="n">
        <x:v>46216</x:v>
      </x:c>
      <x:c r="K260" t="str"/>
    </x:row>
    <x:row r="261">
      <x:c r="A261" t="str">
        <x:v>FM20260700260</x:v>
      </x:c>
      <x:c r="B261" s="16" t="n">
        <x:v>46215</x:v>
      </x:c>
      <x:c r="C261" t="str">
        <x:v>FM-01-01</x:v>
      </x:c>
      <x:c r="D261" t="str">
        <x:v>Nội thành</x:v>
      </x:c>
      <x:c r="E261" t="str">
        <x:v>Tiết kiệm</x:v>
      </x:c>
      <x:c r="F261" t="n">
        <x:v>5</x:v>
      </x:c>
      <x:c r="G261" s="14" t="str">
        <x:f>IF(E261="","",IFERROR(VLOOKUP(E261,'02_Bang_gia'!$A$2:$D$13,4,FALSE),"KHÔNG TÌM THẤY"))</x:f>
        <x:v>KHÔNG TÌM THẤY</x:v>
      </x:c>
      <x:c r="H261" s="14" t="str">
        <x:f>IF(ISNUMBER(G261),G261*F261,"")</x:f>
      </x:c>
      <x:c r="I261" t="str">
        <x:v>Đã giao</x:v>
      </x:c>
      <x:c r="J261" s="16" t="n">
        <x:v>46219</x:v>
      </x:c>
      <x:c r="K261" t="str"/>
    </x:row>
    <x:row r="262">
      <x:c r="A262" t="str">
        <x:v>FM20260700261</x:v>
      </x:c>
      <x:c r="B262" s="16" t="n">
        <x:v>46216</x:v>
      </x:c>
      <x:c r="C262" t="str">
        <x:v>FM-02-03</x:v>
      </x:c>
      <x:c r="D262" t="str">
        <x:v>Ngoại thành</x:v>
      </x:c>
      <x:c r="E262" t="str">
        <x:v>Hỏa tốc</x:v>
      </x:c>
      <x:c r="F262" t="n">
        <x:v>2</x:v>
      </x:c>
      <x:c r="G262" s="14" t="str">
        <x:f>IF(E262="","",IFERROR(VLOOKUP(E262,'02_Bang_gia'!$A$2:$D$13,4,FALSE),"KHÔNG TÌM THẤY"))</x:f>
        <x:v>KHÔNG TÌM THẤY</x:v>
      </x:c>
      <x:c r="H262" s="14" t="str">
        <x:f>IF(ISNUMBER(G262),G262*F262,"")</x:f>
      </x:c>
      <x:c r="I262" t="str">
        <x:v>Đã giao</x:v>
      </x:c>
      <x:c r="J262" s="16" t="n">
        <x:v>46218</x:v>
      </x:c>
      <x:c r="K262" t="str"/>
    </x:row>
    <x:row r="263">
      <x:c r="A263" t="str">
        <x:v>FM20260700262</x:v>
      </x:c>
      <x:c r="B263" s="16" t="n">
        <x:v>46217</x:v>
      </x:c>
      <x:c r="C263" t="str">
        <x:v>FM-01-01</x:v>
      </x:c>
      <x:c r="D263" t="str">
        <x:v>Nội thành</x:v>
      </x:c>
      <x:c r="E263" t="str">
        <x:v>Tiết kiệm</x:v>
      </x:c>
      <x:c r="F263" t="n">
        <x:v>0.5</x:v>
      </x:c>
      <x:c r="G263" s="14" t="str">
        <x:f>IF(E263="","",IFERROR(VLOOKUP(E263,'02_Bang_gia'!$A$2:$D$13,4,FALSE),"KHÔNG TÌM THẤY"))</x:f>
        <x:v>KHÔNG TÌM THẤY</x:v>
      </x:c>
      <x:c r="H263" s="14" t="str">
        <x:f>IF(ISNUMBER(G263),G263*F263,"")</x:f>
      </x:c>
      <x:c r="I263" t="str">
        <x:v>Đã giao</x:v>
      </x:c>
      <x:c r="J263" s="16" t="n">
        <x:v>46220</x:v>
      </x:c>
      <x:c r="K263" t="str"/>
    </x:row>
    <x:row r="264">
      <x:c r="A264" t="str">
        <x:v>FM20260700263</x:v>
      </x:c>
      <x:c r="B264" s="16" t="n">
        <x:v>46218</x:v>
      </x:c>
      <x:c r="C264" t="str">
        <x:v>FM-02-04</x:v>
      </x:c>
      <x:c r="D264" t="str">
        <x:v>Ngoại thành</x:v>
      </x:c>
      <x:c r="E264" t="str">
        <x:v>COD</x:v>
      </x:c>
      <x:c r="F264" t="n">
        <x:v>0.5</x:v>
      </x:c>
      <x:c r="G264" s="14" t="str">
        <x:f>IF(E264="","",IFERROR(VLOOKUP(E264,'02_Bang_gia'!$A$2:$D$13,4,FALSE),"KHÔNG TÌM THẤY"))</x:f>
        <x:v>KHÔNG TÌM THẤY</x:v>
      </x:c>
      <x:c r="H264" s="14" t="str">
        <x:f>IF(ISNUMBER(G264),G264*F264,"")</x:f>
      </x:c>
      <x:c r="I264" t="str">
        <x:v>Đã giao</x:v>
      </x:c>
      <x:c r="J264" s="16" t="n">
        <x:v>46222</x:v>
      </x:c>
      <x:c r="K264" t="str"/>
    </x:row>
    <x:row r="265">
      <x:c r="A265" t="str">
        <x:v>FM20260700264</x:v>
      </x:c>
      <x:c r="B265" s="16" t="n">
        <x:v>46219</x:v>
      </x:c>
      <x:c r="C265" t="str">
        <x:v>FM-03-04</x:v>
      </x:c>
      <x:c r="D265" t="str">
        <x:v>Liên tỉnh</x:v>
      </x:c>
      <x:c r="E265" t="str">
        <x:v>COD</x:v>
      </x:c>
      <x:c r="F265" t="n">
        <x:v>0.5</x:v>
      </x:c>
      <x:c r="G265" s="14" t="str">
        <x:f>IF(E265="","",IFERROR(VLOOKUP(E265,'02_Bang_gia'!$A$2:$D$13,4,FALSE),"KHÔNG TÌM THẤY"))</x:f>
        <x:v>KHÔNG TÌM THẤY</x:v>
      </x:c>
      <x:c r="H265" s="14" t="str">
        <x:f>IF(ISNUMBER(G265),G265*F265,"")</x:f>
      </x:c>
      <x:c r="I265" t="str">
        <x:v>Đã giao</x:v>
      </x:c>
      <x:c r="J265" s="16" t="n">
        <x:v>46221</x:v>
      </x:c>
      <x:c r="K265" t="str"/>
    </x:row>
    <x:row r="266">
      <x:c r="A266" t="str">
        <x:v>FM20260700265</x:v>
      </x:c>
      <x:c r="B266" s="16" t="n">
        <x:v>46220</x:v>
      </x:c>
      <x:c r="C266" t="str">
        <x:v>FM-02-04</x:v>
      </x:c>
      <x:c r="D266" t="str">
        <x:v>Ngoại thành</x:v>
      </x:c>
      <x:c r="E266" t="str">
        <x:v>COD</x:v>
      </x:c>
      <x:c r="F266" t="n">
        <x:v>1.5</x:v>
      </x:c>
      <x:c r="G266" s="14" t="str">
        <x:f>IF(E266="","",IFERROR(VLOOKUP(E266,'02_Bang_gia'!$A$2:$D$13,4,FALSE),"KHÔNG TÌM THẤY"))</x:f>
        <x:v>KHÔNG TÌM THẤY</x:v>
      </x:c>
      <x:c r="H266" s="14" t="str">
        <x:f>IF(ISNUMBER(G266),G266*F266,"")</x:f>
      </x:c>
      <x:c r="I266" t="str">
        <x:v>Đang giao</x:v>
      </x:c>
      <x:c r="J266" s="16"/>
      <x:c r="K266" t="str"/>
    </x:row>
    <x:row r="267">
      <x:c r="A267" t="str">
        <x:v>FM20260700266</x:v>
      </x:c>
      <x:c r="B267" s="16" t="n">
        <x:v>46221</x:v>
      </x:c>
      <x:c r="C267" t="str">
        <x:v>FM-02-02</x:v>
      </x:c>
      <x:c r="D267" t="str">
        <x:v>Ngoại thành</x:v>
      </x:c>
      <x:c r="E267" t="str">
        <x:v>Tiêu chuẩn</x:v>
      </x:c>
      <x:c r="F267" t="n">
        <x:v>5</x:v>
      </x:c>
      <x:c r="G267" s="14" t="str">
        <x:f>IF(E267="","",IFERROR(VLOOKUP(E267,'02_Bang_gia'!$A$2:$D$13,4,FALSE),"KHÔNG TÌM THẤY"))</x:f>
        <x:v>KHÔNG TÌM THẤY</x:v>
      </x:c>
      <x:c r="H267" s="14" t="str">
        <x:f>IF(ISNUMBER(G267),G267*F267,"")</x:f>
      </x:c>
      <x:c r="I267" t="str">
        <x:v>Đã giao</x:v>
      </x:c>
      <x:c r="J267" s="16" t="n">
        <x:v>46225</x:v>
      </x:c>
      <x:c r="K267" t="str"/>
    </x:row>
    <x:row r="268">
      <x:c r="A268" t="str">
        <x:v>FM20260700267</x:v>
      </x:c>
      <x:c r="B268" s="16" t="n">
        <x:v>46222</x:v>
      </x:c>
      <x:c r="C268" t="str">
        <x:v>FM-01-02</x:v>
      </x:c>
      <x:c r="D268" t="str">
        <x:v>Nội thành</x:v>
      </x:c>
      <x:c r="E268" t="str">
        <x:v>Tiêu chuẩn</x:v>
      </x:c>
      <x:c r="F268" t="n">
        <x:v>5</x:v>
      </x:c>
      <x:c r="G268" s="14" t="str">
        <x:f>IF(E268="","",IFERROR(VLOOKUP(E268,'02_Bang_gia'!$A$2:$D$13,4,FALSE),"KHÔNG TÌM THẤY"))</x:f>
        <x:v>KHÔNG TÌM THẤY</x:v>
      </x:c>
      <x:c r="H268" s="14" t="str">
        <x:f>IF(ISNUMBER(G268),G268*F268,"")</x:f>
      </x:c>
      <x:c r="I268" t="str">
        <x:v>Đang giao</x:v>
      </x:c>
      <x:c r="J268" s="16"/>
      <x:c r="K268" t="str"/>
    </x:row>
    <x:row r="269">
      <x:c r="A269" t="str">
        <x:v>FM20260700268</x:v>
      </x:c>
      <x:c r="B269" s="16" t="n">
        <x:v>46223</x:v>
      </x:c>
      <x:c r="C269" t="str">
        <x:v>FM-03-01</x:v>
      </x:c>
      <x:c r="D269" t="str">
        <x:v>Liên tỉnh</x:v>
      </x:c>
      <x:c r="E269" t="str">
        <x:v>Tiết kiệm</x:v>
      </x:c>
      <x:c r="F269" t="n">
        <x:v>5</x:v>
      </x:c>
      <x:c r="G269" s="14" t="str">
        <x:f>IF(E269="","",IFERROR(VLOOKUP(E269,'02_Bang_gia'!$A$2:$D$13,4,FALSE),"KHÔNG TÌM THẤY"))</x:f>
        <x:v>KHÔNG TÌM THẤY</x:v>
      </x:c>
      <x:c r="H269" s="14" t="str">
        <x:f>IF(ISNUMBER(G269),G269*F269,"")</x:f>
      </x:c>
      <x:c r="I269" t="str">
        <x:v>Đã giao</x:v>
      </x:c>
      <x:c r="J269" s="16" t="n">
        <x:v>46226</x:v>
      </x:c>
      <x:c r="K269" t="str"/>
    </x:row>
    <x:row r="270">
      <x:c r="A270" t="str">
        <x:v>FM20260700269</x:v>
      </x:c>
      <x:c r="B270" s="16" t="n">
        <x:v>46224</x:v>
      </x:c>
      <x:c r="C270" t="str">
        <x:v>FM-03-04</x:v>
      </x:c>
      <x:c r="D270" t="str">
        <x:v>Liên tỉnh</x:v>
      </x:c>
      <x:c r="E270" t="str">
        <x:v>COD</x:v>
      </x:c>
      <x:c r="F270" t="n">
        <x:v>2</x:v>
      </x:c>
      <x:c r="G270" s="14" t="str">
        <x:f>IF(E270="","",IFERROR(VLOOKUP(E270,'02_Bang_gia'!$A$2:$D$13,4,FALSE),"KHÔNG TÌM THẤY"))</x:f>
        <x:v>KHÔNG TÌM THẤY</x:v>
      </x:c>
      <x:c r="H270" s="14" t="str">
        <x:f>IF(ISNUMBER(G270),G270*F270,"")</x:f>
      </x:c>
      <x:c r="I270" t="str">
        <x:v>Đang giao</x:v>
      </x:c>
      <x:c r="J270" s="16"/>
      <x:c r="K270" t="str"/>
    </x:row>
    <x:row r="271">
      <x:c r="A271" t="str">
        <x:v>FM20260700270</x:v>
      </x:c>
      <x:c r="B271" s="16" t="n">
        <x:v>46225</x:v>
      </x:c>
      <x:c r="C271" t="str">
        <x:v>FM-03-01</x:v>
      </x:c>
      <x:c r="D271" t="str">
        <x:v>Liên tỉnh</x:v>
      </x:c>
      <x:c r="E271" t="str">
        <x:v>Tiết kiệm</x:v>
      </x:c>
      <x:c r="F271" t="n">
        <x:v>1</x:v>
      </x:c>
      <x:c r="G271" s="14" t="str">
        <x:f>IF(E271="","",IFERROR(VLOOKUP(E271,'02_Bang_gia'!$A$2:$D$13,4,FALSE),"KHÔNG TÌM THẤY"))</x:f>
        <x:v>KHÔNG TÌM THẤY</x:v>
      </x:c>
      <x:c r="H271" s="14" t="str">
        <x:f>IF(ISNUMBER(G271),G271*F271,"")</x:f>
      </x:c>
      <x:c r="I271" t="str">
        <x:v>Đã giao</x:v>
      </x:c>
      <x:c r="J271" s="16" t="n">
        <x:v>46226</x:v>
      </x:c>
      <x:c r="K271" t="str"/>
    </x:row>
    <x:row r="272">
      <x:c r="A272" t="str">
        <x:v>FM20260700271</x:v>
      </x:c>
      <x:c r="B272" s="16" t="n">
        <x:v>46226</x:v>
      </x:c>
      <x:c r="C272" t="str">
        <x:v>FM-03-03</x:v>
      </x:c>
      <x:c r="D272" t="str">
        <x:v>Liên tỉnh</x:v>
      </x:c>
      <x:c r="E272" t="str">
        <x:v>Hỏa tốc</x:v>
      </x:c>
      <x:c r="F272" t="n">
        <x:v>1</x:v>
      </x:c>
      <x:c r="G272" s="14" t="str">
        <x:f>IF(E272="","",IFERROR(VLOOKUP(E272,'02_Bang_gia'!$A$2:$D$13,4,FALSE),"KHÔNG TÌM THẤY"))</x:f>
        <x:v>KHÔNG TÌM THẤY</x:v>
      </x:c>
      <x:c r="H272" s="14" t="str">
        <x:f>IF(ISNUMBER(G272),G272*F272,"")</x:f>
      </x:c>
      <x:c r="I272" t="str">
        <x:v>Đã giao</x:v>
      </x:c>
      <x:c r="J272" s="16" t="n">
        <x:v>46229</x:v>
      </x:c>
      <x:c r="K272" t="str"/>
    </x:row>
    <x:row r="273">
      <x:c r="A273" t="str">
        <x:v>FM20260700272</x:v>
      </x:c>
      <x:c r="B273" s="16" t="n">
        <x:v>46227</x:v>
      </x:c>
      <x:c r="C273" t="str">
        <x:v>FM-03-04</x:v>
      </x:c>
      <x:c r="D273" t="str">
        <x:v>Liên tỉnh</x:v>
      </x:c>
      <x:c r="E273" t="str">
        <x:v>COD</x:v>
      </x:c>
      <x:c r="F273" t="n">
        <x:v>5</x:v>
      </x:c>
      <x:c r="G273" s="14" t="str">
        <x:f>IF(E273="","",IFERROR(VLOOKUP(E273,'02_Bang_gia'!$A$2:$D$13,4,FALSE),"KHÔNG TÌM THẤY"))</x:f>
        <x:v>KHÔNG TÌM THẤY</x:v>
      </x:c>
      <x:c r="H273" s="14" t="str">
        <x:f>IF(ISNUMBER(G273),G273*F273,"")</x:f>
      </x:c>
      <x:c r="I273" t="str">
        <x:v>Đã giao</x:v>
      </x:c>
      <x:c r="J273" s="16" t="n">
        <x:v>46228</x:v>
      </x:c>
      <x:c r="K273" t="str"/>
    </x:row>
    <x:row r="274">
      <x:c r="A274" t="str">
        <x:v>FM20260700273</x:v>
      </x:c>
      <x:c r="B274" s="16" t="n">
        <x:v>46228</x:v>
      </x:c>
      <x:c r="C274" t="str">
        <x:v>FM-03-04</x:v>
      </x:c>
      <x:c r="D274" t="str">
        <x:v>Liên tỉnh</x:v>
      </x:c>
      <x:c r="E274" t="str">
        <x:v>COD</x:v>
      </x:c>
      <x:c r="F274" t="n">
        <x:v>2</x:v>
      </x:c>
      <x:c r="G274" s="14" t="str">
        <x:f>IF(E274="","",IFERROR(VLOOKUP(E274,'02_Bang_gia'!$A$2:$D$13,4,FALSE),"KHÔNG TÌM THẤY"))</x:f>
        <x:v>KHÔNG TÌM THẤY</x:v>
      </x:c>
      <x:c r="H274" s="14" t="str">
        <x:f>IF(ISNUMBER(G274),G274*F274,"")</x:f>
      </x:c>
      <x:c r="I274" t="str">
        <x:v>Đang giao</x:v>
      </x:c>
      <x:c r="J274" s="16"/>
      <x:c r="K274" t="str"/>
    </x:row>
    <x:row r="275">
      <x:c r="A275" t="str">
        <x:v>FM20260700274</x:v>
      </x:c>
      <x:c r="B275" s="16" t="n">
        <x:v>46229</x:v>
      </x:c>
      <x:c r="C275" t="str">
        <x:v>FM-01-03</x:v>
      </x:c>
      <x:c r="D275" t="str">
        <x:v>Nội thành</x:v>
      </x:c>
      <x:c r="E275" t="str">
        <x:v>Hỏa tốc</x:v>
      </x:c>
      <x:c r="F275" t="n">
        <x:v>0.5</x:v>
      </x:c>
      <x:c r="G275" s="14" t="str">
        <x:f>IF(E275="","",IFERROR(VLOOKUP(E275,'02_Bang_gia'!$A$2:$D$13,4,FALSE),"KHÔNG TÌM THẤY"))</x:f>
        <x:v>KHÔNG TÌM THẤY</x:v>
      </x:c>
      <x:c r="H275" s="14" t="str">
        <x:f>IF(ISNUMBER(G275),G275*F275,"")</x:f>
      </x:c>
      <x:c r="I275" t="str">
        <x:v>Đã giao</x:v>
      </x:c>
      <x:c r="J275" s="16" t="n">
        <x:v>46230</x:v>
      </x:c>
      <x:c r="K275" t="str"/>
    </x:row>
    <x:row r="276">
      <x:c r="A276" t="str">
        <x:v>FM20260700275</x:v>
      </x:c>
      <x:c r="B276" s="16" t="n">
        <x:v>46230</x:v>
      </x:c>
      <x:c r="C276" t="str">
        <x:v>FM-02-02</x:v>
      </x:c>
      <x:c r="D276" t="str">
        <x:v>Ngoại thành</x:v>
      </x:c>
      <x:c r="E276" t="str">
        <x:v>Tiêu chuẩn</x:v>
      </x:c>
      <x:c r="F276" t="n">
        <x:v>1.5</x:v>
      </x:c>
      <x:c r="G276" s="14" t="str">
        <x:f>IF(E276="","",IFERROR(VLOOKUP(E276,'02_Bang_gia'!$A$2:$D$13,4,FALSE),"KHÔNG TÌM THẤY"))</x:f>
        <x:v>KHÔNG TÌM THẤY</x:v>
      </x:c>
      <x:c r="H276" s="14" t="str">
        <x:f>IF(ISNUMBER(G276),G276*F276,"")</x:f>
      </x:c>
      <x:c r="I276" t="str">
        <x:v>Đang giao</x:v>
      </x:c>
      <x:c r="J276" s="16"/>
      <x:c r="K276" t="str"/>
    </x:row>
    <x:row r="277">
      <x:c r="A277" t="str">
        <x:v>FM20260700276</x:v>
      </x:c>
      <x:c r="B277" s="16" t="n">
        <x:v>46231</x:v>
      </x:c>
      <x:c r="C277" t="str">
        <x:v>FM-02-02</x:v>
      </x:c>
      <x:c r="D277" t="str">
        <x:v>Ngoại thành</x:v>
      </x:c>
      <x:c r="E277" t="str">
        <x:v>Tiêu chuẩn</x:v>
      </x:c>
      <x:c r="F277" t="n">
        <x:v>1</x:v>
      </x:c>
      <x:c r="G277" s="14" t="str">
        <x:f>IF(E277="","",IFERROR(VLOOKUP(E277,'02_Bang_gia'!$A$2:$D$13,4,FALSE),"KHÔNG TÌM THẤY"))</x:f>
        <x:v>KHÔNG TÌM THẤY</x:v>
      </x:c>
      <x:c r="H277" s="14" t="str">
        <x:f>IF(ISNUMBER(G277),G277*F277,"")</x:f>
      </x:c>
      <x:c r="I277" t="str">
        <x:v>Đã giao</x:v>
      </x:c>
      <x:c r="J277" s="16" t="n">
        <x:v>46233</x:v>
      </x:c>
      <x:c r="K277" t="str"/>
    </x:row>
    <x:row r="278">
      <x:c r="A278" t="str">
        <x:v>FM20260700277</x:v>
      </x:c>
      <x:c r="B278" s="16" t="n">
        <x:v>46232</x:v>
      </x:c>
      <x:c r="C278" t="str">
        <x:v>FM-03-01</x:v>
      </x:c>
      <x:c r="D278" t="str">
        <x:v>Liên tỉnh</x:v>
      </x:c>
      <x:c r="E278" t="str">
        <x:v>Tiết kiệm</x:v>
      </x:c>
      <x:c r="F278" t="n">
        <x:v>1</x:v>
      </x:c>
      <x:c r="G278" s="14" t="str">
        <x:f>IF(E278="","",IFERROR(VLOOKUP(E278,'02_Bang_gia'!$A$2:$D$13,4,FALSE),"KHÔNG TÌM THẤY"))</x:f>
        <x:v>KHÔNG TÌM THẤY</x:v>
      </x:c>
      <x:c r="H278" s="14" t="str">
        <x:f>IF(ISNUMBER(G278),G278*F278,"")</x:f>
      </x:c>
      <x:c r="I278" t="str">
        <x:v>Đã giao</x:v>
      </x:c>
      <x:c r="J278" s="16" t="n">
        <x:v>46234</x:v>
      </x:c>
      <x:c r="K278" t="str"/>
    </x:row>
    <x:row r="279">
      <x:c r="A279" t="str">
        <x:v>FM20260700278</x:v>
      </x:c>
      <x:c r="B279" s="16" t="n">
        <x:v>46233</x:v>
      </x:c>
      <x:c r="C279" t="str">
        <x:v>FM-01-03</x:v>
      </x:c>
      <x:c r="D279" t="str">
        <x:v>Nội thành</x:v>
      </x:c>
      <x:c r="E279" t="str">
        <x:v>Hỏa tốc</x:v>
      </x:c>
      <x:c r="F279" t="n">
        <x:v>3</x:v>
      </x:c>
      <x:c r="G279" s="14" t="str">
        <x:f>IF(E279="","",IFERROR(VLOOKUP(E279,'02_Bang_gia'!$A$2:$D$13,4,FALSE),"KHÔNG TÌM THẤY"))</x:f>
        <x:v>KHÔNG TÌM THẤY</x:v>
      </x:c>
      <x:c r="H279" s="14" t="str">
        <x:f>IF(ISNUMBER(G279),G279*F279,"")</x:f>
      </x:c>
      <x:c r="I279" t="str">
        <x:v>Đã giao</x:v>
      </x:c>
      <x:c r="J279" s="16" t="n">
        <x:v>46237</x:v>
      </x:c>
      <x:c r="K279" t="str"/>
    </x:row>
    <x:row r="280">
      <x:c r="A280" t="str">
        <x:v>FM20260700279</x:v>
      </x:c>
      <x:c r="B280" s="16" t="n">
        <x:v>46234</x:v>
      </x:c>
      <x:c r="C280" t="str">
        <x:v>FM-03-03</x:v>
      </x:c>
      <x:c r="D280" t="str">
        <x:v>Liên tỉnh</x:v>
      </x:c>
      <x:c r="E280" t="str">
        <x:v>Hỏa tốc</x:v>
      </x:c>
      <x:c r="F280" t="n">
        <x:v>1</x:v>
      </x:c>
      <x:c r="G280" s="14" t="str">
        <x:f>IF(E280="","",IFERROR(VLOOKUP(E280,'02_Bang_gia'!$A$2:$D$13,4,FALSE),"KHÔNG TÌM THẤY"))</x:f>
        <x:v>KHÔNG TÌM THẤY</x:v>
      </x:c>
      <x:c r="H280" s="14" t="str">
        <x:f>IF(ISNUMBER(G280),G280*F280,"")</x:f>
      </x:c>
      <x:c r="I280" t="str">
        <x:v>Đã giao</x:v>
      </x:c>
      <x:c r="J280" s="16" t="n">
        <x:v>46236</x:v>
      </x:c>
      <x:c r="K280" t="str"/>
    </x:row>
    <x:row r="281">
      <x:c r="A281" t="str">
        <x:v>FM20260700280</x:v>
      </x:c>
      <x:c r="B281" s="16" t="n">
        <x:v>46204</x:v>
      </x:c>
      <x:c r="C281" t="str">
        <x:v>FM-02-04</x:v>
      </x:c>
      <x:c r="D281" t="str">
        <x:v>Ngoại thành</x:v>
      </x:c>
      <x:c r="E281" t="str">
        <x:v>COD</x:v>
      </x:c>
      <x:c r="F281" t="n">
        <x:v>1.5</x:v>
      </x:c>
      <x:c r="G281" s="14" t="str">
        <x:f>IF(E281="","",IFERROR(VLOOKUP(E281,'02_Bang_gia'!$A$2:$D$13,4,FALSE),"KHÔNG TÌM THẤY"))</x:f>
        <x:v>KHÔNG TÌM THẤY</x:v>
      </x:c>
      <x:c r="H281" s="14" t="str">
        <x:f>IF(ISNUMBER(G281),G281*F281,"")</x:f>
      </x:c>
      <x:c r="I281" t="str">
        <x:v>Đã giao</x:v>
      </x:c>
      <x:c r="J281" s="16" t="n">
        <x:v>46208</x:v>
      </x:c>
      <x:c r="K281" t="str"/>
    </x:row>
    <x:row r="282">
      <x:c r="A282" t="str">
        <x:v>FM20260700281</x:v>
      </x:c>
      <x:c r="B282" s="16" t="n">
        <x:v>46205</x:v>
      </x:c>
      <x:c r="C282" t="str">
        <x:v>FM-03-03</x:v>
      </x:c>
      <x:c r="D282" t="str">
        <x:v>Liên tỉnh</x:v>
      </x:c>
      <x:c r="E282" t="str">
        <x:v>Hỏa tốc</x:v>
      </x:c>
      <x:c r="F282" t="n">
        <x:v>1.5</x:v>
      </x:c>
      <x:c r="G282" s="14" t="str">
        <x:f>IF(E282="","",IFERROR(VLOOKUP(E282,'02_Bang_gia'!$A$2:$D$13,4,FALSE),"KHÔNG TÌM THẤY"))</x:f>
        <x:v>KHÔNG TÌM THẤY</x:v>
      </x:c>
      <x:c r="H282" s="14" t="str">
        <x:f>IF(ISNUMBER(G282),G282*F282,"")</x:f>
      </x:c>
      <x:c r="I282" t="str">
        <x:v>Đã giao</x:v>
      </x:c>
      <x:c r="J282" s="16" t="n">
        <x:v>46209</x:v>
      </x:c>
      <x:c r="K282" t="str"/>
    </x:row>
    <x:row r="283">
      <x:c r="A283" t="str">
        <x:v>FM20260700282</x:v>
      </x:c>
      <x:c r="B283" s="16" t="n">
        <x:v>46206</x:v>
      </x:c>
      <x:c r="C283" t="str">
        <x:v>FM-03-03</x:v>
      </x:c>
      <x:c r="D283" t="str">
        <x:v>Liên tỉnh</x:v>
      </x:c>
      <x:c r="E283" t="str">
        <x:v>Hỏa tốc</x:v>
      </x:c>
      <x:c r="F283" t="n">
        <x:v>2</x:v>
      </x:c>
      <x:c r="G283" s="14" t="str">
        <x:f>IF(E283="","",IFERROR(VLOOKUP(E283,'02_Bang_gia'!$A$2:$D$13,4,FALSE),"KHÔNG TÌM THẤY"))</x:f>
        <x:v>KHÔNG TÌM THẤY</x:v>
      </x:c>
      <x:c r="H283" s="14" t="str">
        <x:f>IF(ISNUMBER(G283),G283*F283,"")</x:f>
      </x:c>
      <x:c r="I283" t="str">
        <x:v>Đã giao</x:v>
      </x:c>
      <x:c r="J283" s="16" t="n">
        <x:v>46207</x:v>
      </x:c>
      <x:c r="K283" t="str"/>
    </x:row>
    <x:row r="284">
      <x:c r="A284" t="str">
        <x:v>FM20260700283</x:v>
      </x:c>
      <x:c r="B284" s="16" t="n">
        <x:v>46207</x:v>
      </x:c>
      <x:c r="C284" t="str">
        <x:v>FM-02-02</x:v>
      </x:c>
      <x:c r="D284" t="str">
        <x:v>Ngoại thành</x:v>
      </x:c>
      <x:c r="E284" t="str">
        <x:v>Tiêu chuẩn</x:v>
      </x:c>
      <x:c r="F284" t="n">
        <x:v>1.5</x:v>
      </x:c>
      <x:c r="G284" s="14" t="str">
        <x:f>IF(E284="","",IFERROR(VLOOKUP(E284,'02_Bang_gia'!$A$2:$D$13,4,FALSE),"KHÔNG TÌM THẤY"))</x:f>
        <x:v>KHÔNG TÌM THẤY</x:v>
      </x:c>
      <x:c r="H284" s="14" t="str">
        <x:f>IF(ISNUMBER(G284),G284*F284,"")</x:f>
      </x:c>
      <x:c r="I284" t="str">
        <x:v>Giao thất bại</x:v>
      </x:c>
      <x:c r="J284" s="16"/>
      <x:c r="K284" t="str"/>
    </x:row>
    <x:row r="285">
      <x:c r="A285" t="str">
        <x:v>FM20260700284</x:v>
      </x:c>
      <x:c r="B285" s="16" t="n">
        <x:v>46208</x:v>
      </x:c>
      <x:c r="C285" t="str">
        <x:v>FM-03-03</x:v>
      </x:c>
      <x:c r="D285" t="str">
        <x:v>Liên tỉnh</x:v>
      </x:c>
      <x:c r="E285" t="str">
        <x:v>Hỏa tốc</x:v>
      </x:c>
      <x:c r="F285" t="n">
        <x:v>5</x:v>
      </x:c>
      <x:c r="G285" s="14" t="str">
        <x:f>IF(E285="","",IFERROR(VLOOKUP(E285,'02_Bang_gia'!$A$2:$D$13,4,FALSE),"KHÔNG TÌM THẤY"))</x:f>
        <x:v>KHÔNG TÌM THẤY</x:v>
      </x:c>
      <x:c r="H285" s="14" t="str">
        <x:f>IF(ISNUMBER(G285),G285*F285,"")</x:f>
      </x:c>
      <x:c r="I285" t="str">
        <x:v>Giao thất bại</x:v>
      </x:c>
      <x:c r="J285" s="16"/>
      <x:c r="K285" t="str"/>
    </x:row>
    <x:row r="286">
      <x:c r="A286" t="str">
        <x:v>FM20260700285</x:v>
      </x:c>
      <x:c r="B286" s="16" t="n">
        <x:v>46209</x:v>
      </x:c>
      <x:c r="C286" t="str">
        <x:v>FM-02-01</x:v>
      </x:c>
      <x:c r="D286" t="str">
        <x:v>Ngoại thành</x:v>
      </x:c>
      <x:c r="E286" t="str">
        <x:v>Tiết kiệm</x:v>
      </x:c>
      <x:c r="F286" t="n">
        <x:v>1</x:v>
      </x:c>
      <x:c r="G286" s="14" t="str">
        <x:f>IF(E286="","",IFERROR(VLOOKUP(E286,'02_Bang_gia'!$A$2:$D$13,4,FALSE),"KHÔNG TÌM THẤY"))</x:f>
        <x:v>KHÔNG TÌM THẤY</x:v>
      </x:c>
      <x:c r="H286" s="14" t="str">
        <x:f>IF(ISNUMBER(G286),G286*F286,"")</x:f>
      </x:c>
      <x:c r="I286" t="str">
        <x:v>Đã giao</x:v>
      </x:c>
      <x:c r="J286" s="16" t="n">
        <x:v>46212</x:v>
      </x:c>
      <x:c r="K286" t="str"/>
    </x:row>
    <x:row r="287">
      <x:c r="A287" t="str">
        <x:v>FM20260700286</x:v>
      </x:c>
      <x:c r="B287" s="16" t="n">
        <x:v>46210</x:v>
      </x:c>
      <x:c r="C287" t="str">
        <x:v>FM-02-03</x:v>
      </x:c>
      <x:c r="D287" t="str">
        <x:v>Ngoại thành</x:v>
      </x:c>
      <x:c r="E287" t="str">
        <x:v>Hỏa tốc</x:v>
      </x:c>
      <x:c r="F287" t="n">
        <x:v>0.5</x:v>
      </x:c>
      <x:c r="G287" s="14" t="str">
        <x:f>IF(E287="","",IFERROR(VLOOKUP(E287,'02_Bang_gia'!$A$2:$D$13,4,FALSE),"KHÔNG TÌM THẤY"))</x:f>
        <x:v>KHÔNG TÌM THẤY</x:v>
      </x:c>
      <x:c r="H287" s="14" t="str">
        <x:f>IF(ISNUMBER(G287),G287*F287,"")</x:f>
      </x:c>
      <x:c r="I287" t="str">
        <x:v>Đang giao</x:v>
      </x:c>
      <x:c r="J287" s="16"/>
      <x:c r="K287" t="str"/>
    </x:row>
    <x:row r="288">
      <x:c r="A288" t="str">
        <x:v>FM20260700287</x:v>
      </x:c>
      <x:c r="B288" s="16" t="n">
        <x:v>46211</x:v>
      </x:c>
      <x:c r="C288" t="str">
        <x:v>FM-01-04</x:v>
      </x:c>
      <x:c r="D288" t="str">
        <x:v>Nội thành</x:v>
      </x:c>
      <x:c r="E288" t="str">
        <x:v>COD</x:v>
      </x:c>
      <x:c r="F288" t="n">
        <x:v>3</x:v>
      </x:c>
      <x:c r="G288" s="14" t="str">
        <x:f>IF(E288="","",IFERROR(VLOOKUP(E288,'02_Bang_gia'!$A$2:$D$13,4,FALSE),"KHÔNG TÌM THẤY"))</x:f>
        <x:v>KHÔNG TÌM THẤY</x:v>
      </x:c>
      <x:c r="H288" s="14" t="str">
        <x:f>IF(ISNUMBER(G288),G288*F288,"")</x:f>
      </x:c>
      <x:c r="I288" t="str">
        <x:v>Đã giao</x:v>
      </x:c>
      <x:c r="J288" s="16" t="n">
        <x:v>46214</x:v>
      </x:c>
      <x:c r="K288" t="str"/>
    </x:row>
    <x:row r="289">
      <x:c r="A289" t="str">
        <x:v>FM20260700288</x:v>
      </x:c>
      <x:c r="B289" s="16" t="n">
        <x:v>46212</x:v>
      </x:c>
      <x:c r="C289" t="str">
        <x:v>FM-02-01</x:v>
      </x:c>
      <x:c r="D289" t="str">
        <x:v>Ngoại thành</x:v>
      </x:c>
      <x:c r="E289" t="str">
        <x:v>Tiết kiệm</x:v>
      </x:c>
      <x:c r="F289" t="n">
        <x:v>1.5</x:v>
      </x:c>
      <x:c r="G289" s="14" t="str">
        <x:f>IF(E289="","",IFERROR(VLOOKUP(E289,'02_Bang_gia'!$A$2:$D$13,4,FALSE),"KHÔNG TÌM THẤY"))</x:f>
        <x:v>KHÔNG TÌM THẤY</x:v>
      </x:c>
      <x:c r="H289" s="14" t="str">
        <x:f>IF(ISNUMBER(G289),G289*F289,"")</x:f>
      </x:c>
      <x:c r="I289" t="str">
        <x:v>Giao thất bại</x:v>
      </x:c>
      <x:c r="J289" s="16"/>
      <x:c r="K289" t="str"/>
    </x:row>
    <x:row r="290">
      <x:c r="A290" t="str">
        <x:v>FM20260700289</x:v>
      </x:c>
      <x:c r="B290" s="16" t="n">
        <x:v>46213</x:v>
      </x:c>
      <x:c r="C290" t="str">
        <x:v>FM-01-01</x:v>
      </x:c>
      <x:c r="D290" t="str">
        <x:v>Nội thành</x:v>
      </x:c>
      <x:c r="E290" t="str">
        <x:v>Tiết kiệm</x:v>
      </x:c>
      <x:c r="F290" t="n">
        <x:v>5</x:v>
      </x:c>
      <x:c r="G290" s="14" t="str">
        <x:f>IF(E290="","",IFERROR(VLOOKUP(E290,'02_Bang_gia'!$A$2:$D$13,4,FALSE),"KHÔNG TÌM THẤY"))</x:f>
        <x:v>KHÔNG TÌM THẤY</x:v>
      </x:c>
      <x:c r="H290" s="14" t="str">
        <x:f>IF(ISNUMBER(G290),G290*F290,"")</x:f>
      </x:c>
      <x:c r="I290" t="str">
        <x:v>Giao thất bại</x:v>
      </x:c>
      <x:c r="J290" s="16"/>
      <x:c r="K290" t="str"/>
    </x:row>
    <x:row r="291">
      <x:c r="A291" t="str">
        <x:v>FM20260700290</x:v>
      </x:c>
      <x:c r="B291" s="16" t="n">
        <x:v>46214</x:v>
      </x:c>
      <x:c r="C291" t="str">
        <x:v>FM-02-03</x:v>
      </x:c>
      <x:c r="D291" t="str">
        <x:v>Ngoại thành</x:v>
      </x:c>
      <x:c r="E291" t="str">
        <x:v>Hỏa tốc</x:v>
      </x:c>
      <x:c r="F291" t="n">
        <x:v>3</x:v>
      </x:c>
      <x:c r="G291" s="14" t="str">
        <x:f>IF(E291="","",IFERROR(VLOOKUP(E291,'02_Bang_gia'!$A$2:$D$13,4,FALSE),"KHÔNG TÌM THẤY"))</x:f>
        <x:v>KHÔNG TÌM THẤY</x:v>
      </x:c>
      <x:c r="H291" s="14" t="str">
        <x:f>IF(ISNUMBER(G291),G291*F291,"")</x:f>
      </x:c>
      <x:c r="I291" t="str">
        <x:v>Đã giao</x:v>
      </x:c>
      <x:c r="J291" s="16" t="n">
        <x:v>46215</x:v>
      </x:c>
      <x:c r="K291" t="str"/>
    </x:row>
    <x:row r="292">
      <x:c r="A292" t="str">
        <x:v>FM20260700291</x:v>
      </x:c>
      <x:c r="B292" s="16" t="n">
        <x:v>46215</x:v>
      </x:c>
      <x:c r="C292" t="str">
        <x:v>FM-03-04</x:v>
      </x:c>
      <x:c r="D292" t="str">
        <x:v>Liên tỉnh</x:v>
      </x:c>
      <x:c r="E292" t="str">
        <x:v>COD</x:v>
      </x:c>
      <x:c r="F292" t="n">
        <x:v>1</x:v>
      </x:c>
      <x:c r="G292" s="14" t="str">
        <x:f>IF(E292="","",IFERROR(VLOOKUP(E292,'02_Bang_gia'!$A$2:$D$13,4,FALSE),"KHÔNG TÌM THẤY"))</x:f>
        <x:v>KHÔNG TÌM THẤY</x:v>
      </x:c>
      <x:c r="H292" s="14" t="str">
        <x:f>IF(ISNUMBER(G292),G292*F292,"")</x:f>
      </x:c>
      <x:c r="I292" t="str">
        <x:v>Đã giao</x:v>
      </x:c>
      <x:c r="J292" s="16" t="n">
        <x:v>46218</x:v>
      </x:c>
      <x:c r="K292" t="str"/>
    </x:row>
    <x:row r="293">
      <x:c r="A293" t="str">
        <x:v>FM20260700292</x:v>
      </x:c>
      <x:c r="B293" s="16" t="n">
        <x:v>46216</x:v>
      </x:c>
      <x:c r="C293" t="str">
        <x:v>FM-03-02</x:v>
      </x:c>
      <x:c r="D293" t="str">
        <x:v>Liên tỉnh</x:v>
      </x:c>
      <x:c r="E293" t="str">
        <x:v>Tiêu chuẩn</x:v>
      </x:c>
      <x:c r="F293" t="n">
        <x:v>1</x:v>
      </x:c>
      <x:c r="G293" s="14" t="str">
        <x:f>IF(E293="","",IFERROR(VLOOKUP(E293,'02_Bang_gia'!$A$2:$D$13,4,FALSE),"KHÔNG TÌM THẤY"))</x:f>
        <x:v>KHÔNG TÌM THẤY</x:v>
      </x:c>
      <x:c r="H293" s="14" t="str">
        <x:f>IF(ISNUMBER(G293),G293*F293,"")</x:f>
      </x:c>
      <x:c r="I293" t="str">
        <x:v>Đang giao</x:v>
      </x:c>
      <x:c r="J293" s="16"/>
      <x:c r="K293" t="str"/>
    </x:row>
    <x:row r="294">
      <x:c r="A294" t="str">
        <x:v>FM20260700293</x:v>
      </x:c>
      <x:c r="B294" s="16" t="n">
        <x:v>46217</x:v>
      </x:c>
      <x:c r="C294" t="str">
        <x:v>FM-03-03</x:v>
      </x:c>
      <x:c r="D294" t="str">
        <x:v>Liên tỉnh</x:v>
      </x:c>
      <x:c r="E294" t="str">
        <x:v>Hỏa tốc</x:v>
      </x:c>
      <x:c r="F294" t="n">
        <x:v>5</x:v>
      </x:c>
      <x:c r="G294" s="14" t="str">
        <x:f>IF(E294="","",IFERROR(VLOOKUP(E294,'02_Bang_gia'!$A$2:$D$13,4,FALSE),"KHÔNG TÌM THẤY"))</x:f>
        <x:v>KHÔNG TÌM THẤY</x:v>
      </x:c>
      <x:c r="H294" s="14" t="str">
        <x:f>IF(ISNUMBER(G294),G294*F294,"")</x:f>
      </x:c>
      <x:c r="I294" t="str">
        <x:v>Đã giao</x:v>
      </x:c>
      <x:c r="J294" s="16" t="n">
        <x:v>46220</x:v>
      </x:c>
      <x:c r="K294" t="str"/>
    </x:row>
    <x:row r="295">
      <x:c r="A295" t="str">
        <x:v>FM20260700294</x:v>
      </x:c>
      <x:c r="B295" s="16" t="n">
        <x:v>46218</x:v>
      </x:c>
      <x:c r="C295" t="str">
        <x:v>FM-03-04</x:v>
      </x:c>
      <x:c r="D295" t="str">
        <x:v>Liên tỉnh</x:v>
      </x:c>
      <x:c r="E295" t="str">
        <x:v>COD</x:v>
      </x:c>
      <x:c r="F295" t="n">
        <x:v>5</x:v>
      </x:c>
      <x:c r="G295" s="14" t="str">
        <x:f>IF(E295="","",IFERROR(VLOOKUP(E295,'02_Bang_gia'!$A$2:$D$13,4,FALSE),"KHÔNG TÌM THẤY"))</x:f>
        <x:v>KHÔNG TÌM THẤY</x:v>
      </x:c>
      <x:c r="H295" s="14" t="str">
        <x:f>IF(ISNUMBER(G295),G295*F295,"")</x:f>
      </x:c>
      <x:c r="I295" t="str">
        <x:v>Đã giao</x:v>
      </x:c>
      <x:c r="J295" s="16" t="n">
        <x:v>46220</x:v>
      </x:c>
      <x:c r="K295" t="str"/>
    </x:row>
    <x:row r="296">
      <x:c r="A296" t="str">
        <x:v>FM20260700295</x:v>
      </x:c>
      <x:c r="B296" s="16" t="n">
        <x:v>46219</x:v>
      </x:c>
      <x:c r="C296" t="str">
        <x:v>FM-01-02</x:v>
      </x:c>
      <x:c r="D296" t="str">
        <x:v>Nội thành</x:v>
      </x:c>
      <x:c r="E296" t="str">
        <x:v>Tiêu chuẩn</x:v>
      </x:c>
      <x:c r="F296" t="n">
        <x:v>5</x:v>
      </x:c>
      <x:c r="G296" s="14" t="str">
        <x:f>IF(E296="","",IFERROR(VLOOKUP(E296,'02_Bang_gia'!$A$2:$D$13,4,FALSE),"KHÔNG TÌM THẤY"))</x:f>
        <x:v>KHÔNG TÌM THẤY</x:v>
      </x:c>
      <x:c r="H296" s="14" t="str">
        <x:f>IF(ISNUMBER(G296),G296*F296,"")</x:f>
      </x:c>
      <x:c r="I296" t="str">
        <x:v>Đang giao</x:v>
      </x:c>
      <x:c r="J296" s="16"/>
      <x:c r="K296" t="str"/>
    </x:row>
    <x:row r="297">
      <x:c r="A297" t="str">
        <x:v>FM20260700296</x:v>
      </x:c>
      <x:c r="B297" s="16" t="n">
        <x:v>46220</x:v>
      </x:c>
      <x:c r="C297" t="str">
        <x:v>FM-01-01</x:v>
      </x:c>
      <x:c r="D297" t="str">
        <x:v>Nội thành</x:v>
      </x:c>
      <x:c r="E297" t="str">
        <x:v>Tiết kiệm</x:v>
      </x:c>
      <x:c r="F297" t="n">
        <x:v>0.5</x:v>
      </x:c>
      <x:c r="G297" s="14" t="str">
        <x:f>IF(E297="","",IFERROR(VLOOKUP(E297,'02_Bang_gia'!$A$2:$D$13,4,FALSE),"KHÔNG TÌM THẤY"))</x:f>
        <x:v>KHÔNG TÌM THẤY</x:v>
      </x:c>
      <x:c r="H297" s="14" t="str">
        <x:f>IF(ISNUMBER(G297),G297*F297,"")</x:f>
      </x:c>
      <x:c r="I297" t="str">
        <x:v>Đã giao</x:v>
      </x:c>
      <x:c r="J297" s="16" t="n">
        <x:v>46224</x:v>
      </x:c>
      <x:c r="K297" t="str"/>
    </x:row>
    <x:row r="298">
      <x:c r="A298" t="str">
        <x:v>FM20260700297</x:v>
      </x:c>
      <x:c r="B298" s="16" t="n">
        <x:v>46221</x:v>
      </x:c>
      <x:c r="C298" t="str">
        <x:v>FM-03-02</x:v>
      </x:c>
      <x:c r="D298" t="str">
        <x:v>Liên tỉnh</x:v>
      </x:c>
      <x:c r="E298" t="str">
        <x:v>Tiêu chuẩn</x:v>
      </x:c>
      <x:c r="F298" t="n">
        <x:v>0.5</x:v>
      </x:c>
      <x:c r="G298" s="14" t="str">
        <x:f>IF(E298="","",IFERROR(VLOOKUP(E298,'02_Bang_gia'!$A$2:$D$13,4,FALSE),"KHÔNG TÌM THẤY"))</x:f>
        <x:v>KHÔNG TÌM THẤY</x:v>
      </x:c>
      <x:c r="H298" s="14" t="str">
        <x:f>IF(ISNUMBER(G298),G298*F298,"")</x:f>
      </x:c>
      <x:c r="I298" t="str">
        <x:v>Đã giao</x:v>
      </x:c>
      <x:c r="J298" s="16" t="n">
        <x:v>46223</x:v>
      </x:c>
      <x:c r="K298" t="str"/>
    </x:row>
    <x:row r="299">
      <x:c r="A299" t="str">
        <x:v>FM20260700298</x:v>
      </x:c>
      <x:c r="B299" s="16" t="n">
        <x:v>46222</x:v>
      </x:c>
      <x:c r="C299" t="str">
        <x:v>FM-02-01</x:v>
      </x:c>
      <x:c r="D299" t="str">
        <x:v>Ngoại thành</x:v>
      </x:c>
      <x:c r="E299" t="str">
        <x:v>Tiết kiệm</x:v>
      </x:c>
      <x:c r="F299" t="n">
        <x:v>1</x:v>
      </x:c>
      <x:c r="G299" s="14" t="str">
        <x:f>IF(E299="","",IFERROR(VLOOKUP(E299,'02_Bang_gia'!$A$2:$D$13,4,FALSE),"KHÔNG TÌM THẤY"))</x:f>
        <x:v>KHÔNG TÌM THẤY</x:v>
      </x:c>
      <x:c r="H299" s="14" t="str">
        <x:f>IF(ISNUMBER(G299),G299*F299,"")</x:f>
      </x:c>
      <x:c r="I299" t="str">
        <x:v>Đã giao</x:v>
      </x:c>
      <x:c r="J299" s="16" t="n">
        <x:v>46226</x:v>
      </x:c>
      <x:c r="K299" t="str"/>
    </x:row>
    <x:row r="300">
      <x:c r="A300" t="str">
        <x:v>FM20260700299</x:v>
      </x:c>
      <x:c r="B300" s="16" t="n">
        <x:v>46223</x:v>
      </x:c>
      <x:c r="C300" t="str">
        <x:v>FM-01-04</x:v>
      </x:c>
      <x:c r="D300" t="str">
        <x:v>Nội thành</x:v>
      </x:c>
      <x:c r="E300" t="str">
        <x:v>COD</x:v>
      </x:c>
      <x:c r="F300" t="n">
        <x:v>3</x:v>
      </x:c>
      <x:c r="G300" s="14" t="str">
        <x:f>IF(E300="","",IFERROR(VLOOKUP(E300,'02_Bang_gia'!$A$2:$D$13,4,FALSE),"KHÔNG TÌM THẤY"))</x:f>
        <x:v>KHÔNG TÌM THẤY</x:v>
      </x:c>
      <x:c r="H300" s="14" t="str">
        <x:f>IF(ISNUMBER(G300),G300*F300,"")</x:f>
      </x:c>
      <x:c r="I300" t="str">
        <x:v>Đã giao</x:v>
      </x:c>
      <x:c r="J300" s="16" t="n">
        <x:v>46226</x:v>
      </x:c>
      <x:c r="K300" t="str"/>
    </x:row>
    <x:row r="301">
      <x:c r="A301" t="str">
        <x:v>FM20260700300</x:v>
      </x:c>
      <x:c r="B301" s="16" t="n">
        <x:v>46224</x:v>
      </x:c>
      <x:c r="C301" t="str">
        <x:v>FM-03-01</x:v>
      </x:c>
      <x:c r="D301" t="str">
        <x:v>Liên tỉnh</x:v>
      </x:c>
      <x:c r="E301" t="str">
        <x:v>Tiết kiệm</x:v>
      </x:c>
      <x:c r="F301" t="n">
        <x:v>1</x:v>
      </x:c>
      <x:c r="G301" s="14" t="str">
        <x:f>IF(E301="","",IFERROR(VLOOKUP(E301,'02_Bang_gia'!$A$2:$D$13,4,FALSE),"KHÔNG TÌM THẤY"))</x:f>
        <x:v>KHÔNG TÌM THẤY</x:v>
      </x:c>
      <x:c r="H301" s="14" t="str">
        <x:f>IF(ISNUMBER(G301),G301*F301,"")</x:f>
      </x:c>
      <x:c r="I301" t="str">
        <x:v>Đang giao</x:v>
      </x:c>
      <x:c r="J301" s="16"/>
      <x:c r="K301" t="str"/>
    </x:row>
    <x:row r="302">
      <x:c r="A302" t="str">
        <x:v>FM20260700301</x:v>
      </x:c>
      <x:c r="B302" s="16" t="n">
        <x:v>46225</x:v>
      </x:c>
      <x:c r="C302" t="str">
        <x:v>FM-02-01</x:v>
      </x:c>
      <x:c r="D302" t="str">
        <x:v>Ngoại thành</x:v>
      </x:c>
      <x:c r="E302" t="str">
        <x:v>Tiết kiệm</x:v>
      </x:c>
      <x:c r="F302" t="n">
        <x:v>2</x:v>
      </x:c>
      <x:c r="G302" s="14" t="str">
        <x:f>IF(E302="","",IFERROR(VLOOKUP(E302,'02_Bang_gia'!$A$2:$D$13,4,FALSE),"KHÔNG TÌM THẤY"))</x:f>
        <x:v>KHÔNG TÌM THẤY</x:v>
      </x:c>
      <x:c r="H302" s="14" t="str">
        <x:f>IF(ISNUMBER(G302),G302*F302,"")</x:f>
      </x:c>
      <x:c r="I302" t="str">
        <x:v>Đang giao</x:v>
      </x:c>
      <x:c r="J302" s="16"/>
      <x:c r="K302" t="str"/>
    </x:row>
    <x:row r="303">
      <x:c r="A303" t="str">
        <x:v>FM20260700302</x:v>
      </x:c>
      <x:c r="B303" s="16" t="n">
        <x:v>46226</x:v>
      </x:c>
      <x:c r="C303" t="str">
        <x:v>FM-02-01</x:v>
      </x:c>
      <x:c r="D303" t="str">
        <x:v>Ngoại thành</x:v>
      </x:c>
      <x:c r="E303" t="str">
        <x:v>Tiết kiệm</x:v>
      </x:c>
      <x:c r="F303" t="n">
        <x:v>0.5</x:v>
      </x:c>
      <x:c r="G303" s="14" t="str">
        <x:f>IF(E303="","",IFERROR(VLOOKUP(E303,'02_Bang_gia'!$A$2:$D$13,4,FALSE),"KHÔNG TÌM THẤY"))</x:f>
        <x:v>KHÔNG TÌM THẤY</x:v>
      </x:c>
      <x:c r="H303" s="14" t="str">
        <x:f>IF(ISNUMBER(G303),G303*F303,"")</x:f>
      </x:c>
      <x:c r="I303" t="str">
        <x:v>Đã giao</x:v>
      </x:c>
      <x:c r="J303" s="16" t="n">
        <x:v>46229</x:v>
      </x:c>
      <x:c r="K303" t="str"/>
    </x:row>
    <x:row r="304">
      <x:c r="A304" t="str">
        <x:v>FM20260700303</x:v>
      </x:c>
      <x:c r="B304" s="16" t="n">
        <x:v>46227</x:v>
      </x:c>
      <x:c r="C304" t="str">
        <x:v>FM-02-04</x:v>
      </x:c>
      <x:c r="D304" t="str">
        <x:v>Ngoại thành</x:v>
      </x:c>
      <x:c r="E304" t="str">
        <x:v>COD</x:v>
      </x:c>
      <x:c r="F304" t="n">
        <x:v>1</x:v>
      </x:c>
      <x:c r="G304" s="14" t="str">
        <x:f>IF(E304="","",IFERROR(VLOOKUP(E304,'02_Bang_gia'!$A$2:$D$13,4,FALSE),"KHÔNG TÌM THẤY"))</x:f>
        <x:v>KHÔNG TÌM THẤY</x:v>
      </x:c>
      <x:c r="H304" s="14" t="str">
        <x:f>IF(ISNUMBER(G304),G304*F304,"")</x:f>
      </x:c>
      <x:c r="I304" t="str">
        <x:v>Giao thất bại</x:v>
      </x:c>
      <x:c r="J304" s="16"/>
      <x:c r="K304" t="str"/>
    </x:row>
    <x:row r="305">
      <x:c r="A305" t="str">
        <x:v>FM20260700304</x:v>
      </x:c>
      <x:c r="B305" s="16" t="n">
        <x:v>46228</x:v>
      </x:c>
      <x:c r="C305" t="str">
        <x:v>FM-01-04</x:v>
      </x:c>
      <x:c r="D305" t="str">
        <x:v>Nội thành</x:v>
      </x:c>
      <x:c r="E305" t="str">
        <x:v>COD</x:v>
      </x:c>
      <x:c r="F305" t="n">
        <x:v>5</x:v>
      </x:c>
      <x:c r="G305" s="14" t="str">
        <x:f>IF(E305="","",IFERROR(VLOOKUP(E305,'02_Bang_gia'!$A$2:$D$13,4,FALSE),"KHÔNG TÌM THẤY"))</x:f>
        <x:v>KHÔNG TÌM THẤY</x:v>
      </x:c>
      <x:c r="H305" s="14" t="str">
        <x:f>IF(ISNUMBER(G305),G305*F305,"")</x:f>
      </x:c>
      <x:c r="I305" t="str">
        <x:v>Đang giao</x:v>
      </x:c>
      <x:c r="J305" s="16"/>
      <x:c r="K305" t="str"/>
    </x:row>
    <x:row r="306">
      <x:c r="A306" t="str">
        <x:v>FM20260700305</x:v>
      </x:c>
      <x:c r="B306" s="16" t="n">
        <x:v>46229</x:v>
      </x:c>
      <x:c r="C306" t="str">
        <x:v>FM-03-03</x:v>
      </x:c>
      <x:c r="D306" t="str">
        <x:v>Liên tỉnh</x:v>
      </x:c>
      <x:c r="E306" t="str">
        <x:v>Hỏa tốc</x:v>
      </x:c>
      <x:c r="F306" t="n">
        <x:v>3</x:v>
      </x:c>
      <x:c r="G306" s="14" t="str">
        <x:f>IF(E306="","",IFERROR(VLOOKUP(E306,'02_Bang_gia'!$A$2:$D$13,4,FALSE),"KHÔNG TÌM THẤY"))</x:f>
        <x:v>KHÔNG TÌM THẤY</x:v>
      </x:c>
      <x:c r="H306" s="14" t="str">
        <x:f>IF(ISNUMBER(G306),G306*F306,"")</x:f>
      </x:c>
      <x:c r="I306" t="str">
        <x:v>Giao thất bại</x:v>
      </x:c>
      <x:c r="J306" s="16"/>
      <x:c r="K306" t="str"/>
    </x:row>
    <x:row r="307">
      <x:c r="A307" t="str">
        <x:v>FM20260700306</x:v>
      </x:c>
      <x:c r="B307" s="16" t="n">
        <x:v>46230</x:v>
      </x:c>
      <x:c r="C307" t="str">
        <x:v>FM-02-02</x:v>
      </x:c>
      <x:c r="D307" t="str">
        <x:v>Ngoại thành</x:v>
      </x:c>
      <x:c r="E307" t="str">
        <x:v>Tiêu chuẩn</x:v>
      </x:c>
      <x:c r="F307" t="n">
        <x:v>0.5</x:v>
      </x:c>
      <x:c r="G307" s="14" t="str">
        <x:f>IF(E307="","",IFERROR(VLOOKUP(E307,'02_Bang_gia'!$A$2:$D$13,4,FALSE),"KHÔNG TÌM THẤY"))</x:f>
        <x:v>KHÔNG TÌM THẤY</x:v>
      </x:c>
      <x:c r="H307" s="14" t="str">
        <x:f>IF(ISNUMBER(G307),G307*F307,"")</x:f>
      </x:c>
      <x:c r="I307" t="str">
        <x:v>Đã giao</x:v>
      </x:c>
      <x:c r="J307" s="16" t="n">
        <x:v>46234</x:v>
      </x:c>
      <x:c r="K307" t="str"/>
    </x:row>
    <x:row r="308">
      <x:c r="A308" t="str">
        <x:v>FM20260700307</x:v>
      </x:c>
      <x:c r="B308" s="16" t="n">
        <x:v>46231</x:v>
      </x:c>
      <x:c r="C308" t="str">
        <x:v>FM-02-01</x:v>
      </x:c>
      <x:c r="D308" t="str">
        <x:v>Ngoại thành</x:v>
      </x:c>
      <x:c r="E308" t="str">
        <x:v>Tiết kiệm</x:v>
      </x:c>
      <x:c r="F308" t="n">
        <x:v>1.5</x:v>
      </x:c>
      <x:c r="G308" s="14" t="str">
        <x:f>IF(E308="","",IFERROR(VLOOKUP(E308,'02_Bang_gia'!$A$2:$D$13,4,FALSE),"KHÔNG TÌM THẤY"))</x:f>
        <x:v>KHÔNG TÌM THẤY</x:v>
      </x:c>
      <x:c r="H308" s="14" t="str">
        <x:f>IF(ISNUMBER(G308),G308*F308,"")</x:f>
      </x:c>
      <x:c r="I308" t="str">
        <x:v>Đã giao</x:v>
      </x:c>
      <x:c r="J308" s="16" t="n">
        <x:v>46235</x:v>
      </x:c>
      <x:c r="K308" t="str"/>
    </x:row>
    <x:row r="309">
      <x:c r="A309" t="str">
        <x:v>FM20260700308</x:v>
      </x:c>
      <x:c r="B309" s="16" t="n">
        <x:v>46232</x:v>
      </x:c>
      <x:c r="C309" t="str">
        <x:v>FM-03-03</x:v>
      </x:c>
      <x:c r="D309" t="str">
        <x:v>Liên tỉnh</x:v>
      </x:c>
      <x:c r="E309" t="str">
        <x:v>Hỏa tốc</x:v>
      </x:c>
      <x:c r="F309" t="n">
        <x:v>3</x:v>
      </x:c>
      <x:c r="G309" s="14" t="str">
        <x:f>IF(E309="","",IFERROR(VLOOKUP(E309,'02_Bang_gia'!$A$2:$D$13,4,FALSE),"KHÔNG TÌM THẤY"))</x:f>
        <x:v>KHÔNG TÌM THẤY</x:v>
      </x:c>
      <x:c r="H309" s="14" t="str">
        <x:f>IF(ISNUMBER(G309),G309*F309,"")</x:f>
      </x:c>
      <x:c r="I309" t="str">
        <x:v>Đã giao</x:v>
      </x:c>
      <x:c r="J309" s="16" t="n">
        <x:v>46235</x:v>
      </x:c>
      <x:c r="K309" t="str"/>
    </x:row>
    <x:row r="310">
      <x:c r="A310" t="str">
        <x:v>FM20260700309</x:v>
      </x:c>
      <x:c r="B310" s="16" t="n">
        <x:v>46233</x:v>
      </x:c>
      <x:c r="C310" t="str">
        <x:v>FM-02-03</x:v>
      </x:c>
      <x:c r="D310" t="str">
        <x:v>Ngoại thành</x:v>
      </x:c>
      <x:c r="E310" t="str">
        <x:v>Hỏa tốc</x:v>
      </x:c>
      <x:c r="F310" t="n">
        <x:v>1.5</x:v>
      </x:c>
      <x:c r="G310" s="14" t="str">
        <x:f>IF(E310="","",IFERROR(VLOOKUP(E310,'02_Bang_gia'!$A$2:$D$13,4,FALSE),"KHÔNG TÌM THẤY"))</x:f>
        <x:v>KHÔNG TÌM THẤY</x:v>
      </x:c>
      <x:c r="H310" s="14" t="str">
        <x:f>IF(ISNUMBER(G310),G310*F310,"")</x:f>
      </x:c>
      <x:c r="I310" t="str">
        <x:v>Đang giao</x:v>
      </x:c>
      <x:c r="J310" s="16"/>
      <x:c r="K310" t="str"/>
    </x:row>
    <x:row r="311">
      <x:c r="A311" t="str">
        <x:v>FM20260700310</x:v>
      </x:c>
      <x:c r="B311" s="16" t="n">
        <x:v>46234</x:v>
      </x:c>
      <x:c r="C311" t="str">
        <x:v>FM-01-02</x:v>
      </x:c>
      <x:c r="D311" t="str">
        <x:v>Nội thành</x:v>
      </x:c>
      <x:c r="E311" t="str">
        <x:v>Tiêu chuẩn</x:v>
      </x:c>
      <x:c r="F311" t="n">
        <x:v>0.5</x:v>
      </x:c>
      <x:c r="G311" s="14" t="str">
        <x:f>IF(E311="","",IFERROR(VLOOKUP(E311,'02_Bang_gia'!$A$2:$D$13,4,FALSE),"KHÔNG TÌM THẤY"))</x:f>
        <x:v>KHÔNG TÌM THẤY</x:v>
      </x:c>
      <x:c r="H311" s="14" t="str">
        <x:f>IF(ISNUMBER(G311),G311*F311,"")</x:f>
      </x:c>
      <x:c r="I311" t="str">
        <x:v>Đã giao</x:v>
      </x:c>
      <x:c r="J311" s="16" t="n">
        <x:v>46238</x:v>
      </x:c>
      <x:c r="K311" t="str"/>
    </x:row>
    <x:row r="312">
      <x:c r="A312" t="str">
        <x:v>FM20260700311</x:v>
      </x:c>
      <x:c r="B312" s="16" t="n">
        <x:v>46204</x:v>
      </x:c>
      <x:c r="C312" t="str">
        <x:v>FM-03-02</x:v>
      </x:c>
      <x:c r="D312" t="str">
        <x:v>Liên tỉnh</x:v>
      </x:c>
      <x:c r="E312" t="str">
        <x:v>Tiêu chuẩn</x:v>
      </x:c>
      <x:c r="F312" t="n">
        <x:v>3</x:v>
      </x:c>
      <x:c r="G312" s="14" t="str">
        <x:f>IF(E312="","",IFERROR(VLOOKUP(E312,'02_Bang_gia'!$A$2:$D$13,4,FALSE),"KHÔNG TÌM THẤY"))</x:f>
        <x:v>KHÔNG TÌM THẤY</x:v>
      </x:c>
      <x:c r="H312" s="14" t="str">
        <x:f>IF(ISNUMBER(G312),G312*F312,"")</x:f>
      </x:c>
      <x:c r="I312" t="str">
        <x:v>Đang giao</x:v>
      </x:c>
      <x:c r="J312" s="16"/>
      <x:c r="K312" t="str"/>
    </x:row>
    <x:row r="313">
      <x:c r="A313" t="str">
        <x:v>FM20260700312</x:v>
      </x:c>
      <x:c r="B313" s="16" t="n">
        <x:v>46205</x:v>
      </x:c>
      <x:c r="C313" t="str">
        <x:v>FM-02-02</x:v>
      </x:c>
      <x:c r="D313" t="str">
        <x:v>Ngoại thành</x:v>
      </x:c>
      <x:c r="E313" t="str">
        <x:v>Tiêu chuẩn</x:v>
      </x:c>
      <x:c r="F313" t="n">
        <x:v>1</x:v>
      </x:c>
      <x:c r="G313" s="14" t="str">
        <x:f>IF(E313="","",IFERROR(VLOOKUP(E313,'02_Bang_gia'!$A$2:$D$13,4,FALSE),"KHÔNG TÌM THẤY"))</x:f>
        <x:v>KHÔNG TÌM THẤY</x:v>
      </x:c>
      <x:c r="H313" s="14" t="str">
        <x:f>IF(ISNUMBER(G313),G313*F313,"")</x:f>
      </x:c>
      <x:c r="I313" t="str">
        <x:v>Đang giao</x:v>
      </x:c>
      <x:c r="J313" s="16"/>
      <x:c r="K313" t="str"/>
    </x:row>
    <x:row r="314">
      <x:c r="A314" t="str">
        <x:v>FM20260700313</x:v>
      </x:c>
      <x:c r="B314" s="16" t="n">
        <x:v>46206</x:v>
      </x:c>
      <x:c r="C314" t="str">
        <x:v>FM-03-03</x:v>
      </x:c>
      <x:c r="D314" t="str">
        <x:v>Liên tỉnh</x:v>
      </x:c>
      <x:c r="E314" t="str">
        <x:v>Hỏa tốc</x:v>
      </x:c>
      <x:c r="F314" t="n">
        <x:v>5</x:v>
      </x:c>
      <x:c r="G314" s="14" t="str">
        <x:f>IF(E314="","",IFERROR(VLOOKUP(E314,'02_Bang_gia'!$A$2:$D$13,4,FALSE),"KHÔNG TÌM THẤY"))</x:f>
        <x:v>KHÔNG TÌM THẤY</x:v>
      </x:c>
      <x:c r="H314" s="14" t="str">
        <x:f>IF(ISNUMBER(G314),G314*F314,"")</x:f>
      </x:c>
      <x:c r="I314" t="str">
        <x:v>Đã giao</x:v>
      </x:c>
      <x:c r="J314" s="16" t="n">
        <x:v>46210</x:v>
      </x:c>
      <x:c r="K314" t="str"/>
    </x:row>
    <x:row r="315">
      <x:c r="A315" t="str">
        <x:v>FM20260700314</x:v>
      </x:c>
      <x:c r="B315" s="16" t="n">
        <x:v>46207</x:v>
      </x:c>
      <x:c r="C315" t="str">
        <x:v>FM-02-01</x:v>
      </x:c>
      <x:c r="D315" t="str">
        <x:v>Ngoại thành</x:v>
      </x:c>
      <x:c r="E315" t="str">
        <x:v>Tiết kiệm</x:v>
      </x:c>
      <x:c r="F315" t="n">
        <x:v>1</x:v>
      </x:c>
      <x:c r="G315" s="14" t="str">
        <x:f>IF(E315="","",IFERROR(VLOOKUP(E315,'02_Bang_gia'!$A$2:$D$13,4,FALSE),"KHÔNG TÌM THẤY"))</x:f>
        <x:v>KHÔNG TÌM THẤY</x:v>
      </x:c>
      <x:c r="H315" s="14" t="str">
        <x:f>IF(ISNUMBER(G315),G315*F315,"")</x:f>
      </x:c>
      <x:c r="I315" t="str">
        <x:v>Đã giao</x:v>
      </x:c>
      <x:c r="J315" s="16" t="n">
        <x:v>46208</x:v>
      </x:c>
      <x:c r="K315" t="str"/>
    </x:row>
    <x:row r="316">
      <x:c r="A316" t="str">
        <x:v>FM20260700315</x:v>
      </x:c>
      <x:c r="B316" s="16" t="n">
        <x:v>46208</x:v>
      </x:c>
      <x:c r="C316" t="str">
        <x:v>FM-01-01</x:v>
      </x:c>
      <x:c r="D316" t="str">
        <x:v>Nội thành</x:v>
      </x:c>
      <x:c r="E316" t="str">
        <x:v>Tiết kiệm</x:v>
      </x:c>
      <x:c r="F316" t="n">
        <x:v>1.5</x:v>
      </x:c>
      <x:c r="G316" s="14" t="str">
        <x:f>IF(E316="","",IFERROR(VLOOKUP(E316,'02_Bang_gia'!$A$2:$D$13,4,FALSE),"KHÔNG TÌM THẤY"))</x:f>
        <x:v>KHÔNG TÌM THẤY</x:v>
      </x:c>
      <x:c r="H316" s="14" t="str">
        <x:f>IF(ISNUMBER(G316),G316*F316,"")</x:f>
      </x:c>
      <x:c r="I316" t="str">
        <x:v>Giao thất bại</x:v>
      </x:c>
      <x:c r="J316" s="16"/>
      <x:c r="K316" t="str"/>
    </x:row>
    <x:row r="317">
      <x:c r="A317" t="str">
        <x:v>FM20260700316</x:v>
      </x:c>
      <x:c r="B317" s="16" t="n">
        <x:v>46209</x:v>
      </x:c>
      <x:c r="C317" t="str">
        <x:v>FM-02-04</x:v>
      </x:c>
      <x:c r="D317" t="str">
        <x:v>Ngoại thành</x:v>
      </x:c>
      <x:c r="E317" t="str">
        <x:v>COD</x:v>
      </x:c>
      <x:c r="F317" t="n">
        <x:v>3</x:v>
      </x:c>
      <x:c r="G317" s="14" t="str">
        <x:f>IF(E317="","",IFERROR(VLOOKUP(E317,'02_Bang_gia'!$A$2:$D$13,4,FALSE),"KHÔNG TÌM THẤY"))</x:f>
        <x:v>KHÔNG TÌM THẤY</x:v>
      </x:c>
      <x:c r="H317" s="14" t="str">
        <x:f>IF(ISNUMBER(G317),G317*F317,"")</x:f>
      </x:c>
      <x:c r="I317" t="str">
        <x:v>Đã giao</x:v>
      </x:c>
      <x:c r="J317" s="16" t="n">
        <x:v>46211</x:v>
      </x:c>
      <x:c r="K317" t="str"/>
    </x:row>
    <x:row r="318">
      <x:c r="A318" t="str">
        <x:v>FM20260700317</x:v>
      </x:c>
      <x:c r="B318" s="16" t="n">
        <x:v>46210</x:v>
      </x:c>
      <x:c r="C318" t="str">
        <x:v>FM-01-03</x:v>
      </x:c>
      <x:c r="D318" t="str">
        <x:v>Nội thành</x:v>
      </x:c>
      <x:c r="E318" t="str">
        <x:v>Hỏa tốc</x:v>
      </x:c>
      <x:c r="F318" t="n">
        <x:v>5</x:v>
      </x:c>
      <x:c r="G318" s="14" t="str">
        <x:f>IF(E318="","",IFERROR(VLOOKUP(E318,'02_Bang_gia'!$A$2:$D$13,4,FALSE),"KHÔNG TÌM THẤY"))</x:f>
        <x:v>KHÔNG TÌM THẤY</x:v>
      </x:c>
      <x:c r="H318" s="14" t="str">
        <x:f>IF(ISNUMBER(G318),G318*F318,"")</x:f>
      </x:c>
      <x:c r="I318" t="str">
        <x:v>Đã giao</x:v>
      </x:c>
      <x:c r="J318" s="16" t="n">
        <x:v>46213</x:v>
      </x:c>
      <x:c r="K318" t="str"/>
    </x:row>
    <x:row r="319">
      <x:c r="A319" t="str">
        <x:v>FM20260700318</x:v>
      </x:c>
      <x:c r="B319" s="16" t="n">
        <x:v>46211</x:v>
      </x:c>
      <x:c r="C319" t="str">
        <x:v>FM-03-04</x:v>
      </x:c>
      <x:c r="D319" t="str">
        <x:v>Liên tỉnh</x:v>
      </x:c>
      <x:c r="E319" t="str">
        <x:v>COD</x:v>
      </x:c>
      <x:c r="F319" t="n">
        <x:v>3</x:v>
      </x:c>
      <x:c r="G319" s="14" t="str">
        <x:f>IF(E319="","",IFERROR(VLOOKUP(E319,'02_Bang_gia'!$A$2:$D$13,4,FALSE),"KHÔNG TÌM THẤY"))</x:f>
        <x:v>KHÔNG TÌM THẤY</x:v>
      </x:c>
      <x:c r="H319" s="14" t="str">
        <x:f>IF(ISNUMBER(G319),G319*F319,"")</x:f>
      </x:c>
      <x:c r="I319" t="str">
        <x:v>Đã giao</x:v>
      </x:c>
      <x:c r="J319" s="16" t="n">
        <x:v>46215</x:v>
      </x:c>
      <x:c r="K319" t="str"/>
    </x:row>
    <x:row r="320">
      <x:c r="A320" t="str">
        <x:v>FM20260700319</x:v>
      </x:c>
      <x:c r="B320" s="16" t="n">
        <x:v>46212</x:v>
      </x:c>
      <x:c r="C320" t="str">
        <x:v>FM-03-04</x:v>
      </x:c>
      <x:c r="D320" t="str">
        <x:v>Liên tỉnh</x:v>
      </x:c>
      <x:c r="E320" t="str">
        <x:v>COD</x:v>
      </x:c>
      <x:c r="F320" t="n">
        <x:v>5</x:v>
      </x:c>
      <x:c r="G320" s="14" t="str">
        <x:f>IF(E320="","",IFERROR(VLOOKUP(E320,'02_Bang_gia'!$A$2:$D$13,4,FALSE),"KHÔNG TÌM THẤY"))</x:f>
        <x:v>KHÔNG TÌM THẤY</x:v>
      </x:c>
      <x:c r="H320" s="14" t="str">
        <x:f>IF(ISNUMBER(G320),G320*F320,"")</x:f>
      </x:c>
      <x:c r="I320" t="str">
        <x:v>Đã giao</x:v>
      </x:c>
      <x:c r="J320" s="16" t="n">
        <x:v>46216</x:v>
      </x:c>
      <x:c r="K320" t="str"/>
    </x:row>
    <x:row r="321">
      <x:c r="A321" t="str">
        <x:v>FM20260700320</x:v>
      </x:c>
      <x:c r="B321" s="16" t="n">
        <x:v>46213</x:v>
      </x:c>
      <x:c r="C321" t="str">
        <x:v>FM-01-02</x:v>
      </x:c>
      <x:c r="D321" t="str">
        <x:v>Nội thành</x:v>
      </x:c>
      <x:c r="E321" t="str">
        <x:v>Tiêu chuẩn</x:v>
      </x:c>
      <x:c r="F321" t="n">
        <x:v>3</x:v>
      </x:c>
      <x:c r="G321" s="14" t="str">
        <x:f>IF(E321="","",IFERROR(VLOOKUP(E321,'02_Bang_gia'!$A$2:$D$13,4,FALSE),"KHÔNG TÌM THẤY"))</x:f>
        <x:v>KHÔNG TÌM THẤY</x:v>
      </x:c>
      <x:c r="H321" s="14" t="str">
        <x:f>IF(ISNUMBER(G321),G321*F321,"")</x:f>
      </x:c>
      <x:c r="I321" t="str">
        <x:v>Đang giao</x:v>
      </x:c>
      <x:c r="J321" s="16"/>
      <x:c r="K321" t="str"/>
    </x:row>
    <x:row r="322">
      <x:c r="A322" t="str">
        <x:v>FM20260700321</x:v>
      </x:c>
      <x:c r="B322" s="16" t="n">
        <x:v>46214</x:v>
      </x:c>
      <x:c r="C322" t="str">
        <x:v>FM-02-03</x:v>
      </x:c>
      <x:c r="D322" t="str">
        <x:v>Ngoại thành</x:v>
      </x:c>
      <x:c r="E322" t="str">
        <x:v>Hỏa tốc</x:v>
      </x:c>
      <x:c r="F322" t="n">
        <x:v>1.5</x:v>
      </x:c>
      <x:c r="G322" s="14" t="str">
        <x:f>IF(E322="","",IFERROR(VLOOKUP(E322,'02_Bang_gia'!$A$2:$D$13,4,FALSE),"KHÔNG TÌM THẤY"))</x:f>
        <x:v>KHÔNG TÌM THẤY</x:v>
      </x:c>
      <x:c r="H322" s="14" t="str">
        <x:f>IF(ISNUMBER(G322),G322*F322,"")</x:f>
      </x:c>
      <x:c r="I322" t="str">
        <x:v>Giao thất bại</x:v>
      </x:c>
      <x:c r="J322" s="16"/>
      <x:c r="K322" t="str"/>
    </x:row>
    <x:row r="323">
      <x:c r="A323" t="str">
        <x:v>FM20260700322</x:v>
      </x:c>
      <x:c r="B323" s="16" t="n">
        <x:v>46215</x:v>
      </x:c>
      <x:c r="C323" t="str">
        <x:v>FM-01-01</x:v>
      </x:c>
      <x:c r="D323" t="str">
        <x:v>Nội thành</x:v>
      </x:c>
      <x:c r="E323" t="str">
        <x:v>Tiết kiệm</x:v>
      </x:c>
      <x:c r="F323" t="n">
        <x:v>2</x:v>
      </x:c>
      <x:c r="G323" s="14" t="str">
        <x:f>IF(E323="","",IFERROR(VLOOKUP(E323,'02_Bang_gia'!$A$2:$D$13,4,FALSE),"KHÔNG TÌM THẤY"))</x:f>
        <x:v>KHÔNG TÌM THẤY</x:v>
      </x:c>
      <x:c r="H323" s="14" t="str">
        <x:f>IF(ISNUMBER(G323),G323*F323,"")</x:f>
      </x:c>
      <x:c r="I323" t="str">
        <x:v>Đã giao</x:v>
      </x:c>
      <x:c r="J323" s="16" t="n">
        <x:v>46217</x:v>
      </x:c>
      <x:c r="K323" t="str"/>
    </x:row>
    <x:row r="324">
      <x:c r="A324" t="str">
        <x:v>FM20260700323</x:v>
      </x:c>
      <x:c r="B324" s="16" t="n">
        <x:v>46216</x:v>
      </x:c>
      <x:c r="C324" t="str">
        <x:v>FM-02-04</x:v>
      </x:c>
      <x:c r="D324" t="str">
        <x:v>Ngoại thành</x:v>
      </x:c>
      <x:c r="E324" t="str">
        <x:v>COD</x:v>
      </x:c>
      <x:c r="F324" t="n">
        <x:v>1.5</x:v>
      </x:c>
      <x:c r="G324" s="14" t="str">
        <x:f>IF(E324="","",IFERROR(VLOOKUP(E324,'02_Bang_gia'!$A$2:$D$13,4,FALSE),"KHÔNG TÌM THẤY"))</x:f>
        <x:v>KHÔNG TÌM THẤY</x:v>
      </x:c>
      <x:c r="H324" s="14" t="str">
        <x:f>IF(ISNUMBER(G324),G324*F324,"")</x:f>
      </x:c>
      <x:c r="I324" t="str">
        <x:v>Giao thất bại</x:v>
      </x:c>
      <x:c r="J324" s="16"/>
      <x:c r="K324" t="str"/>
    </x:row>
    <x:row r="325">
      <x:c r="A325" t="str">
        <x:v>FM20260700324</x:v>
      </x:c>
      <x:c r="B325" s="16" t="n">
        <x:v>46217</x:v>
      </x:c>
      <x:c r="C325" t="str">
        <x:v>FM-01-02</x:v>
      </x:c>
      <x:c r="D325" t="str">
        <x:v>Nội thành</x:v>
      </x:c>
      <x:c r="E325" t="str">
        <x:v>Tiêu chuẩn</x:v>
      </x:c>
      <x:c r="F325" t="n">
        <x:v>1.5</x:v>
      </x:c>
      <x:c r="G325" s="14" t="str">
        <x:f>IF(E325="","",IFERROR(VLOOKUP(E325,'02_Bang_gia'!$A$2:$D$13,4,FALSE),"KHÔNG TÌM THẤY"))</x:f>
        <x:v>KHÔNG TÌM THẤY</x:v>
      </x:c>
      <x:c r="H325" s="14" t="str">
        <x:f>IF(ISNUMBER(G325),G325*F325,"")</x:f>
      </x:c>
      <x:c r="I325" t="str">
        <x:v>Giao thất bại</x:v>
      </x:c>
      <x:c r="J325" s="16"/>
      <x:c r="K325" t="str"/>
    </x:row>
    <x:row r="326">
      <x:c r="A326" t="str">
        <x:v>FM20260700325</x:v>
      </x:c>
      <x:c r="B326" s="16" t="n">
        <x:v>46218</x:v>
      </x:c>
      <x:c r="C326" t="str">
        <x:v>FM-03-01</x:v>
      </x:c>
      <x:c r="D326" t="str">
        <x:v>Liên tỉnh</x:v>
      </x:c>
      <x:c r="E326" t="str">
        <x:v>Tiết kiệm</x:v>
      </x:c>
      <x:c r="F326" t="n">
        <x:v>5</x:v>
      </x:c>
      <x:c r="G326" s="14" t="str">
        <x:f>IF(E326="","",IFERROR(VLOOKUP(E326,'02_Bang_gia'!$A$2:$D$13,4,FALSE),"KHÔNG TÌM THẤY"))</x:f>
        <x:v>KHÔNG TÌM THẤY</x:v>
      </x:c>
      <x:c r="H326" s="14" t="str">
        <x:f>IF(ISNUMBER(G326),G326*F326,"")</x:f>
      </x:c>
      <x:c r="I326" t="str">
        <x:v>Đang giao</x:v>
      </x:c>
      <x:c r="J326" s="16"/>
      <x:c r="K326" t="str"/>
    </x:row>
    <x:row r="327">
      <x:c r="A327" t="str">
        <x:v>FM20260700326</x:v>
      </x:c>
      <x:c r="B327" s="16" t="n">
        <x:v>46219</x:v>
      </x:c>
      <x:c r="C327" t="str">
        <x:v>FM-02-02</x:v>
      </x:c>
      <x:c r="D327" t="str">
        <x:v>Ngoại thành</x:v>
      </x:c>
      <x:c r="E327" t="str">
        <x:v>Tiêu chuẩn</x:v>
      </x:c>
      <x:c r="F327" t="n">
        <x:v>1</x:v>
      </x:c>
      <x:c r="G327" s="14" t="str">
        <x:f>IF(E327="","",IFERROR(VLOOKUP(E327,'02_Bang_gia'!$A$2:$D$13,4,FALSE),"KHÔNG TÌM THẤY"))</x:f>
        <x:v>KHÔNG TÌM THẤY</x:v>
      </x:c>
      <x:c r="H327" s="14" t="str">
        <x:f>IF(ISNUMBER(G327),G327*F327,"")</x:f>
      </x:c>
      <x:c r="I327" t="str">
        <x:v>Đã giao</x:v>
      </x:c>
      <x:c r="J327" s="16" t="n">
        <x:v>46222</x:v>
      </x:c>
      <x:c r="K327" t="str"/>
    </x:row>
    <x:row r="328">
      <x:c r="A328" t="str">
        <x:v>FM20260700327</x:v>
      </x:c>
      <x:c r="B328" s="16" t="n">
        <x:v>46220</x:v>
      </x:c>
      <x:c r="C328" t="str">
        <x:v>FM-01-02</x:v>
      </x:c>
      <x:c r="D328" t="str">
        <x:v>Nội thành</x:v>
      </x:c>
      <x:c r="E328" t="str">
        <x:v>Tiêu chuẩn</x:v>
      </x:c>
      <x:c r="F328" t="n">
        <x:v>2</x:v>
      </x:c>
      <x:c r="G328" s="14" t="str">
        <x:f>IF(E328="","",IFERROR(VLOOKUP(E328,'02_Bang_gia'!$A$2:$D$13,4,FALSE),"KHÔNG TÌM THẤY"))</x:f>
        <x:v>KHÔNG TÌM THẤY</x:v>
      </x:c>
      <x:c r="H328" s="14" t="str">
        <x:f>IF(ISNUMBER(G328),G328*F328,"")</x:f>
      </x:c>
      <x:c r="I328" t="str">
        <x:v>Giao thất bại</x:v>
      </x:c>
      <x:c r="J328" s="16"/>
      <x:c r="K328" t="str"/>
    </x:row>
    <x:row r="329">
      <x:c r="A329" t="str">
        <x:v>FM20260700328</x:v>
      </x:c>
      <x:c r="B329" s="16" t="n">
        <x:v>46221</x:v>
      </x:c>
      <x:c r="C329" t="str">
        <x:v>FM-01-02</x:v>
      </x:c>
      <x:c r="D329" t="str">
        <x:v>Nội thành</x:v>
      </x:c>
      <x:c r="E329" t="str">
        <x:v>Tiêu chuẩn</x:v>
      </x:c>
      <x:c r="F329" t="n">
        <x:v>0.5</x:v>
      </x:c>
      <x:c r="G329" s="14" t="str">
        <x:f>IF(E329="","",IFERROR(VLOOKUP(E329,'02_Bang_gia'!$A$2:$D$13,4,FALSE),"KHÔNG TÌM THẤY"))</x:f>
        <x:v>KHÔNG TÌM THẤY</x:v>
      </x:c>
      <x:c r="H329" s="14" t="str">
        <x:f>IF(ISNUMBER(G329),G329*F329,"")</x:f>
      </x:c>
      <x:c r="I329" t="str">
        <x:v>Đã giao</x:v>
      </x:c>
      <x:c r="J329" s="16" t="n">
        <x:v>46222</x:v>
      </x:c>
      <x:c r="K329" t="str"/>
    </x:row>
    <x:row r="330">
      <x:c r="A330" t="str">
        <x:v>FM20260700329</x:v>
      </x:c>
      <x:c r="B330" s="16" t="n">
        <x:v>46222</x:v>
      </x:c>
      <x:c r="C330" t="str">
        <x:v>FM-02-02</x:v>
      </x:c>
      <x:c r="D330" t="str">
        <x:v>Ngoại thành</x:v>
      </x:c>
      <x:c r="E330" t="str">
        <x:v>Tiêu chuẩn</x:v>
      </x:c>
      <x:c r="F330" t="n">
        <x:v>3</x:v>
      </x:c>
      <x:c r="G330" s="14" t="str">
        <x:f>IF(E330="","",IFERROR(VLOOKUP(E330,'02_Bang_gia'!$A$2:$D$13,4,FALSE),"KHÔNG TÌM THẤY"))</x:f>
        <x:v>KHÔNG TÌM THẤY</x:v>
      </x:c>
      <x:c r="H330" s="14" t="str">
        <x:f>IF(ISNUMBER(G330),G330*F330,"")</x:f>
      </x:c>
      <x:c r="I330" t="str">
        <x:v>Đã giao</x:v>
      </x:c>
      <x:c r="J330" s="16" t="n">
        <x:v>46224</x:v>
      </x:c>
      <x:c r="K330" t="str"/>
    </x:row>
    <x:row r="331">
      <x:c r="A331" t="str">
        <x:v>FM20260700330</x:v>
      </x:c>
      <x:c r="B331" s="16" t="n">
        <x:v>46223</x:v>
      </x:c>
      <x:c r="C331" t="str">
        <x:v>FM-01-04</x:v>
      </x:c>
      <x:c r="D331" t="str">
        <x:v>Nội thành</x:v>
      </x:c>
      <x:c r="E331" t="str">
        <x:v>COD</x:v>
      </x:c>
      <x:c r="F331" t="n">
        <x:v>3</x:v>
      </x:c>
      <x:c r="G331" s="14" t="str">
        <x:f>IF(E331="","",IFERROR(VLOOKUP(E331,'02_Bang_gia'!$A$2:$D$13,4,FALSE),"KHÔNG TÌM THẤY"))</x:f>
        <x:v>KHÔNG TÌM THẤY</x:v>
      </x:c>
      <x:c r="H331" s="14" t="str">
        <x:f>IF(ISNUMBER(G331),G331*F331,"")</x:f>
      </x:c>
      <x:c r="I331" t="str">
        <x:v>Đã giao</x:v>
      </x:c>
      <x:c r="J331" s="16" t="n">
        <x:v>46225</x:v>
      </x:c>
      <x:c r="K331" t="str"/>
    </x:row>
    <x:row r="332">
      <x:c r="A332" t="str">
        <x:v>FM20260700331</x:v>
      </x:c>
      <x:c r="B332" s="16" t="n">
        <x:v>46224</x:v>
      </x:c>
      <x:c r="C332" t="str">
        <x:v>FM-01-04</x:v>
      </x:c>
      <x:c r="D332" t="str">
        <x:v>Nội thành</x:v>
      </x:c>
      <x:c r="E332" t="str">
        <x:v>COD</x:v>
      </x:c>
      <x:c r="F332" t="n">
        <x:v>1</x:v>
      </x:c>
      <x:c r="G332" s="14" t="str">
        <x:f>IF(E332="","",IFERROR(VLOOKUP(E332,'02_Bang_gia'!$A$2:$D$13,4,FALSE),"KHÔNG TÌM THẤY"))</x:f>
        <x:v>KHÔNG TÌM THẤY</x:v>
      </x:c>
      <x:c r="H332" s="14" t="str">
        <x:f>IF(ISNUMBER(G332),G332*F332,"")</x:f>
      </x:c>
      <x:c r="I332" t="str">
        <x:v>Đang giao</x:v>
      </x:c>
      <x:c r="J332" s="16"/>
      <x:c r="K332" t="str"/>
    </x:row>
    <x:row r="333">
      <x:c r="A333" t="str">
        <x:v>FM20260700332</x:v>
      </x:c>
      <x:c r="B333" s="16" t="n">
        <x:v>46225</x:v>
      </x:c>
      <x:c r="C333" t="str">
        <x:v>FM-02-02</x:v>
      </x:c>
      <x:c r="D333" t="str">
        <x:v>Ngoại thành</x:v>
      </x:c>
      <x:c r="E333" t="str">
        <x:v>Tiêu chuẩn</x:v>
      </x:c>
      <x:c r="F333" t="n">
        <x:v>1.5</x:v>
      </x:c>
      <x:c r="G333" s="14" t="str">
        <x:f>IF(E333="","",IFERROR(VLOOKUP(E333,'02_Bang_gia'!$A$2:$D$13,4,FALSE),"KHÔNG TÌM THẤY"))</x:f>
        <x:v>KHÔNG TÌM THẤY</x:v>
      </x:c>
      <x:c r="H333" s="14" t="str">
        <x:f>IF(ISNUMBER(G333),G333*F333,"")</x:f>
      </x:c>
      <x:c r="I333" t="str">
        <x:v>Đã giao</x:v>
      </x:c>
      <x:c r="J333" s="16" t="n">
        <x:v>46226</x:v>
      </x:c>
      <x:c r="K333" t="str"/>
    </x:row>
    <x:row r="334">
      <x:c r="A334" t="str">
        <x:v>FM20260700333</x:v>
      </x:c>
      <x:c r="B334" s="16" t="n">
        <x:v>46226</x:v>
      </x:c>
      <x:c r="C334" t="str">
        <x:v>FM-01-03</x:v>
      </x:c>
      <x:c r="D334" t="str">
        <x:v>Nội thành</x:v>
      </x:c>
      <x:c r="E334" t="str">
        <x:v>Hỏa tốc</x:v>
      </x:c>
      <x:c r="F334" t="n">
        <x:v>3</x:v>
      </x:c>
      <x:c r="G334" s="14" t="str">
        <x:f>IF(E334="","",IFERROR(VLOOKUP(E334,'02_Bang_gia'!$A$2:$D$13,4,FALSE),"KHÔNG TÌM THẤY"))</x:f>
        <x:v>KHÔNG TÌM THẤY</x:v>
      </x:c>
      <x:c r="H334" s="14" t="str">
        <x:f>IF(ISNUMBER(G334),G334*F334,"")</x:f>
      </x:c>
      <x:c r="I334" t="str">
        <x:v>Giao thất bại</x:v>
      </x:c>
      <x:c r="J334" s="16"/>
      <x:c r="K334" t="str"/>
    </x:row>
    <x:row r="335">
      <x:c r="A335" t="str">
        <x:v>FM20260700334</x:v>
      </x:c>
      <x:c r="B335" s="16" t="n">
        <x:v>46227</x:v>
      </x:c>
      <x:c r="C335" t="str">
        <x:v>FM-02-01</x:v>
      </x:c>
      <x:c r="D335" t="str">
        <x:v>Ngoại thành</x:v>
      </x:c>
      <x:c r="E335" t="str">
        <x:v>Tiết kiệm</x:v>
      </x:c>
      <x:c r="F335" t="n">
        <x:v>0.5</x:v>
      </x:c>
      <x:c r="G335" s="14" t="str">
        <x:f>IF(E335="","",IFERROR(VLOOKUP(E335,'02_Bang_gia'!$A$2:$D$13,4,FALSE),"KHÔNG TÌM THẤY"))</x:f>
        <x:v>KHÔNG TÌM THẤY</x:v>
      </x:c>
      <x:c r="H335" s="14" t="str">
        <x:f>IF(ISNUMBER(G335),G335*F335,"")</x:f>
      </x:c>
      <x:c r="I335" t="str">
        <x:v>Đang giao</x:v>
      </x:c>
      <x:c r="J335" s="16"/>
      <x:c r="K335" t="str"/>
    </x:row>
    <x:row r="336">
      <x:c r="A336" t="str">
        <x:v>FM20260700335</x:v>
      </x:c>
      <x:c r="B336" s="16" t="n">
        <x:v>46228</x:v>
      </x:c>
      <x:c r="C336" t="str">
        <x:v>FM-03-03</x:v>
      </x:c>
      <x:c r="D336" t="str">
        <x:v>Liên tỉnh</x:v>
      </x:c>
      <x:c r="E336" t="str">
        <x:v>Hỏa tốc</x:v>
      </x:c>
      <x:c r="F336" t="n">
        <x:v>1</x:v>
      </x:c>
      <x:c r="G336" s="14" t="str">
        <x:f>IF(E336="","",IFERROR(VLOOKUP(E336,'02_Bang_gia'!$A$2:$D$13,4,FALSE),"KHÔNG TÌM THẤY"))</x:f>
        <x:v>KHÔNG TÌM THẤY</x:v>
      </x:c>
      <x:c r="H336" s="14" t="str">
        <x:f>IF(ISNUMBER(G336),G336*F336,"")</x:f>
      </x:c>
      <x:c r="I336" t="str">
        <x:v>Đang giao</x:v>
      </x:c>
      <x:c r="J336" s="16"/>
      <x:c r="K336" t="str"/>
    </x:row>
    <x:row r="337">
      <x:c r="A337" t="str">
        <x:v>FM20260700336</x:v>
      </x:c>
      <x:c r="B337" s="16" t="n">
        <x:v>46229</x:v>
      </x:c>
      <x:c r="C337" t="str">
        <x:v>FM-01-01</x:v>
      </x:c>
      <x:c r="D337" t="str">
        <x:v>Nội thành</x:v>
      </x:c>
      <x:c r="E337" t="str">
        <x:v>Tiết kiệm</x:v>
      </x:c>
      <x:c r="F337" t="n">
        <x:v>3</x:v>
      </x:c>
      <x:c r="G337" s="14" t="str">
        <x:f>IF(E337="","",IFERROR(VLOOKUP(E337,'02_Bang_gia'!$A$2:$D$13,4,FALSE),"KHÔNG TÌM THẤY"))</x:f>
        <x:v>KHÔNG TÌM THẤY</x:v>
      </x:c>
      <x:c r="H337" s="14" t="str">
        <x:f>IF(ISNUMBER(G337),G337*F337,"")</x:f>
      </x:c>
      <x:c r="I337" t="str">
        <x:v>Đã giao</x:v>
      </x:c>
      <x:c r="J337" s="16" t="n">
        <x:v>46231</x:v>
      </x:c>
      <x:c r="K337" t="str"/>
    </x:row>
    <x:row r="338">
      <x:c r="A338" t="str">
        <x:v>FM20260700337</x:v>
      </x:c>
      <x:c r="B338" s="16" t="n">
        <x:v>46230</x:v>
      </x:c>
      <x:c r="C338" t="str">
        <x:v>FM-02-02</x:v>
      </x:c>
      <x:c r="D338" t="str">
        <x:v>Ngoại thành</x:v>
      </x:c>
      <x:c r="E338" t="str">
        <x:v>Tiêu chuẩn</x:v>
      </x:c>
      <x:c r="F338" t="n">
        <x:v>0.5</x:v>
      </x:c>
      <x:c r="G338" s="14" t="str">
        <x:f>IF(E338="","",IFERROR(VLOOKUP(E338,'02_Bang_gia'!$A$2:$D$13,4,FALSE),"KHÔNG TÌM THẤY"))</x:f>
        <x:v>KHÔNG TÌM THẤY</x:v>
      </x:c>
      <x:c r="H338" s="14" t="str">
        <x:f>IF(ISNUMBER(G338),G338*F338,"")</x:f>
      </x:c>
      <x:c r="I338" t="str">
        <x:v>Đã giao</x:v>
      </x:c>
      <x:c r="J338" s="16" t="n">
        <x:v>46233</x:v>
      </x:c>
      <x:c r="K338" t="str"/>
    </x:row>
    <x:row r="339">
      <x:c r="A339" t="str">
        <x:v>FM20260700338</x:v>
      </x:c>
      <x:c r="B339" s="16" t="n">
        <x:v>46231</x:v>
      </x:c>
      <x:c r="C339" t="str">
        <x:v>FM-01-03</x:v>
      </x:c>
      <x:c r="D339" t="str">
        <x:v>Nội thành</x:v>
      </x:c>
      <x:c r="E339" t="str">
        <x:v>Hỏa tốc</x:v>
      </x:c>
      <x:c r="F339" t="n">
        <x:v>5</x:v>
      </x:c>
      <x:c r="G339" s="14" t="str">
        <x:f>IF(E339="","",IFERROR(VLOOKUP(E339,'02_Bang_gia'!$A$2:$D$13,4,FALSE),"KHÔNG TÌM THẤY"))</x:f>
        <x:v>KHÔNG TÌM THẤY</x:v>
      </x:c>
      <x:c r="H339" s="14" t="str">
        <x:f>IF(ISNUMBER(G339),G339*F339,"")</x:f>
      </x:c>
      <x:c r="I339" t="str">
        <x:v>Đã giao</x:v>
      </x:c>
      <x:c r="J339" s="16" t="n">
        <x:v>46232</x:v>
      </x:c>
      <x:c r="K339" t="str"/>
    </x:row>
    <x:row r="340">
      <x:c r="A340" t="str">
        <x:v>FM20260700339</x:v>
      </x:c>
      <x:c r="B340" s="16" t="n">
        <x:v>46232</x:v>
      </x:c>
      <x:c r="C340" t="str">
        <x:v>FM-01-02</x:v>
      </x:c>
      <x:c r="D340" t="str">
        <x:v>Nội thành</x:v>
      </x:c>
      <x:c r="E340" t="str">
        <x:v>Tiêu chuẩn</x:v>
      </x:c>
      <x:c r="F340" t="n">
        <x:v>3</x:v>
      </x:c>
      <x:c r="G340" s="14" t="str">
        <x:f>IF(E340="","",IFERROR(VLOOKUP(E340,'02_Bang_gia'!$A$2:$D$13,4,FALSE),"KHÔNG TÌM THẤY"))</x:f>
        <x:v>KHÔNG TÌM THẤY</x:v>
      </x:c>
      <x:c r="H340" s="14" t="str">
        <x:f>IF(ISNUMBER(G340),G340*F340,"")</x:f>
      </x:c>
      <x:c r="I340" t="str">
        <x:v>Đã giao</x:v>
      </x:c>
      <x:c r="J340" s="16" t="n">
        <x:v>46235</x:v>
      </x:c>
      <x:c r="K340" t="str"/>
    </x:row>
    <x:row r="341">
      <x:c r="A341" t="str">
        <x:v>FM20260700340</x:v>
      </x:c>
      <x:c r="B341" s="16" t="n">
        <x:v>46233</x:v>
      </x:c>
      <x:c r="C341" t="str">
        <x:v>FM-03-02</x:v>
      </x:c>
      <x:c r="D341" t="str">
        <x:v>Liên tỉnh</x:v>
      </x:c>
      <x:c r="E341" t="str">
        <x:v>Tiêu chuẩn</x:v>
      </x:c>
      <x:c r="F341" t="n">
        <x:v>3</x:v>
      </x:c>
      <x:c r="G341" s="14" t="str">
        <x:f>IF(E341="","",IFERROR(VLOOKUP(E341,'02_Bang_gia'!$A$2:$D$13,4,FALSE),"KHÔNG TÌM THẤY"))</x:f>
        <x:v>KHÔNG TÌM THẤY</x:v>
      </x:c>
      <x:c r="H341" s="14" t="str">
        <x:f>IF(ISNUMBER(G341),G341*F341,"")</x:f>
      </x:c>
      <x:c r="I341" t="str">
        <x:v>Đã giao</x:v>
      </x:c>
      <x:c r="J341" s="16" t="n">
        <x:v>46235</x:v>
      </x:c>
      <x:c r="K341" t="str"/>
    </x:row>
    <x:row r="342">
      <x:c r="A342" t="str">
        <x:v>FM20260700341</x:v>
      </x:c>
      <x:c r="B342" s="16" t="n">
        <x:v>46234</x:v>
      </x:c>
      <x:c r="C342" t="str">
        <x:v>FM-01-01</x:v>
      </x:c>
      <x:c r="D342" t="str">
        <x:v>Nội thành</x:v>
      </x:c>
      <x:c r="E342" t="str">
        <x:v>Tiết kiệm</x:v>
      </x:c>
      <x:c r="F342" t="n">
        <x:v>2</x:v>
      </x:c>
      <x:c r="G342" s="14" t="str">
        <x:f>IF(E342="","",IFERROR(VLOOKUP(E342,'02_Bang_gia'!$A$2:$D$13,4,FALSE),"KHÔNG TÌM THẤY"))</x:f>
        <x:v>KHÔNG TÌM THẤY</x:v>
      </x:c>
      <x:c r="H342" s="14" t="str">
        <x:f>IF(ISNUMBER(G342),G342*F342,"")</x:f>
      </x:c>
      <x:c r="I342" t="str">
        <x:v>Đã giao</x:v>
      </x:c>
      <x:c r="J342" s="16" t="n">
        <x:v>46237</x:v>
      </x:c>
      <x:c r="K342" t="str"/>
    </x:row>
    <x:row r="343">
      <x:c r="A343" t="str">
        <x:v>FM20260700342</x:v>
      </x:c>
      <x:c r="B343" s="16" t="n">
        <x:v>46204</x:v>
      </x:c>
      <x:c r="C343" t="str">
        <x:v>FM-03-03</x:v>
      </x:c>
      <x:c r="D343" t="str">
        <x:v>Liên tỉnh</x:v>
      </x:c>
      <x:c r="E343" t="str">
        <x:v>Hỏa tốc</x:v>
      </x:c>
      <x:c r="F343" t="n">
        <x:v>0.5</x:v>
      </x:c>
      <x:c r="G343" s="14" t="str">
        <x:f>IF(E343="","",IFERROR(VLOOKUP(E343,'02_Bang_gia'!$A$2:$D$13,4,FALSE),"KHÔNG TÌM THẤY"))</x:f>
        <x:v>KHÔNG TÌM THẤY</x:v>
      </x:c>
      <x:c r="H343" s="14" t="str">
        <x:f>IF(ISNUMBER(G343),G343*F343,"")</x:f>
      </x:c>
      <x:c r="I343" t="str">
        <x:v>Giao thất bại</x:v>
      </x:c>
      <x:c r="J343" s="16"/>
      <x:c r="K343" t="str"/>
    </x:row>
    <x:row r="344">
      <x:c r="A344" t="str">
        <x:v>FM20260700343</x:v>
      </x:c>
      <x:c r="B344" s="16" t="n">
        <x:v>46205</x:v>
      </x:c>
      <x:c r="C344" t="str">
        <x:v>FM-02-04</x:v>
      </x:c>
      <x:c r="D344" t="str">
        <x:v>Ngoại thành</x:v>
      </x:c>
      <x:c r="E344" t="str">
        <x:v>COD</x:v>
      </x:c>
      <x:c r="F344" t="n">
        <x:v>2</x:v>
      </x:c>
      <x:c r="G344" s="14" t="str">
        <x:f>IF(E344="","",IFERROR(VLOOKUP(E344,'02_Bang_gia'!$A$2:$D$13,4,FALSE),"KHÔNG TÌM THẤY"))</x:f>
        <x:v>KHÔNG TÌM THẤY</x:v>
      </x:c>
      <x:c r="H344" s="14" t="str">
        <x:f>IF(ISNUMBER(G344),G344*F344,"")</x:f>
      </x:c>
      <x:c r="I344" t="str">
        <x:v>Đang giao</x:v>
      </x:c>
      <x:c r="J344" s="16"/>
      <x:c r="K344" t="str"/>
    </x:row>
    <x:row r="345">
      <x:c r="A345" t="str">
        <x:v>FM20260700344</x:v>
      </x:c>
      <x:c r="B345" s="16" t="n">
        <x:v>46206</x:v>
      </x:c>
      <x:c r="C345" t="str">
        <x:v>FM-03-03</x:v>
      </x:c>
      <x:c r="D345" t="str">
        <x:v>Liên tỉnh</x:v>
      </x:c>
      <x:c r="E345" t="str">
        <x:v>Hỏa tốc</x:v>
      </x:c>
      <x:c r="F345" t="n">
        <x:v>0.5</x:v>
      </x:c>
      <x:c r="G345" s="14" t="str">
        <x:f>IF(E345="","",IFERROR(VLOOKUP(E345,'02_Bang_gia'!$A$2:$D$13,4,FALSE),"KHÔNG TÌM THẤY"))</x:f>
        <x:v>KHÔNG TÌM THẤY</x:v>
      </x:c>
      <x:c r="H345" s="14" t="str">
        <x:f>IF(ISNUMBER(G345),G345*F345,"")</x:f>
      </x:c>
      <x:c r="I345" t="str">
        <x:v>Đã giao</x:v>
      </x:c>
      <x:c r="J345" s="16" t="n">
        <x:v>46210</x:v>
      </x:c>
      <x:c r="K345" t="str"/>
    </x:row>
    <x:row r="346">
      <x:c r="A346" t="str">
        <x:v>FM20260700345</x:v>
      </x:c>
      <x:c r="B346" s="16" t="n">
        <x:v>46207</x:v>
      </x:c>
      <x:c r="C346" t="str">
        <x:v>FM-01-02</x:v>
      </x:c>
      <x:c r="D346" t="str">
        <x:v>Nội thành</x:v>
      </x:c>
      <x:c r="E346" t="str">
        <x:v>Tiêu chuẩn</x:v>
      </x:c>
      <x:c r="F346" t="n">
        <x:v>0.5</x:v>
      </x:c>
      <x:c r="G346" s="14" t="str">
        <x:f>IF(E346="","",IFERROR(VLOOKUP(E346,'02_Bang_gia'!$A$2:$D$13,4,FALSE),"KHÔNG TÌM THẤY"))</x:f>
        <x:v>KHÔNG TÌM THẤY</x:v>
      </x:c>
      <x:c r="H346" s="14" t="str">
        <x:f>IF(ISNUMBER(G346),G346*F346,"")</x:f>
      </x:c>
      <x:c r="I346" t="str">
        <x:v>Đã giao</x:v>
      </x:c>
      <x:c r="J346" s="16" t="n">
        <x:v>46209</x:v>
      </x:c>
      <x:c r="K346" t="str"/>
    </x:row>
    <x:row r="347">
      <x:c r="A347" t="str">
        <x:v>FM20260700346</x:v>
      </x:c>
      <x:c r="B347" s="16" t="n">
        <x:v>46208</x:v>
      </x:c>
      <x:c r="C347" t="str">
        <x:v>FM-01-03</x:v>
      </x:c>
      <x:c r="D347" t="str">
        <x:v>Nội thành</x:v>
      </x:c>
      <x:c r="E347" t="str">
        <x:v>Hỏa tốc</x:v>
      </x:c>
      <x:c r="F347" t="n">
        <x:v>2</x:v>
      </x:c>
      <x:c r="G347" s="14" t="str">
        <x:f>IF(E347="","",IFERROR(VLOOKUP(E347,'02_Bang_gia'!$A$2:$D$13,4,FALSE),"KHÔNG TÌM THẤY"))</x:f>
        <x:v>KHÔNG TÌM THẤY</x:v>
      </x:c>
      <x:c r="H347" s="14" t="str">
        <x:f>IF(ISNUMBER(G347),G347*F347,"")</x:f>
      </x:c>
      <x:c r="I347" t="str">
        <x:v>Đã giao</x:v>
      </x:c>
      <x:c r="J347" s="16" t="n">
        <x:v>46211</x:v>
      </x:c>
      <x:c r="K347" t="str"/>
    </x:row>
    <x:row r="348">
      <x:c r="A348" t="str">
        <x:v>FM20260700347</x:v>
      </x:c>
      <x:c r="B348" s="16" t="n">
        <x:v>46209</x:v>
      </x:c>
      <x:c r="C348" t="str">
        <x:v>FM-03-02</x:v>
      </x:c>
      <x:c r="D348" t="str">
        <x:v>Liên tỉnh</x:v>
      </x:c>
      <x:c r="E348" t="str">
        <x:v>Tiêu chuẩn</x:v>
      </x:c>
      <x:c r="F348" t="n">
        <x:v>3</x:v>
      </x:c>
      <x:c r="G348" s="14" t="str">
        <x:f>IF(E348="","",IFERROR(VLOOKUP(E348,'02_Bang_gia'!$A$2:$D$13,4,FALSE),"KHÔNG TÌM THẤY"))</x:f>
        <x:v>KHÔNG TÌM THẤY</x:v>
      </x:c>
      <x:c r="H348" s="14" t="str">
        <x:f>IF(ISNUMBER(G348),G348*F348,"")</x:f>
      </x:c>
      <x:c r="I348" t="str">
        <x:v>Đã giao</x:v>
      </x:c>
      <x:c r="J348" s="16" t="n">
        <x:v>46213</x:v>
      </x:c>
      <x:c r="K348" t="str"/>
    </x:row>
    <x:row r="349">
      <x:c r="A349" t="str">
        <x:v>FM20260700348</x:v>
      </x:c>
      <x:c r="B349" s="16" t="n">
        <x:v>46210</x:v>
      </x:c>
      <x:c r="C349" t="str">
        <x:v>FM-03-02</x:v>
      </x:c>
      <x:c r="D349" t="str">
        <x:v>Liên tỉnh</x:v>
      </x:c>
      <x:c r="E349" t="str">
        <x:v>Tiêu chuẩn</x:v>
      </x:c>
      <x:c r="F349" t="n">
        <x:v>5</x:v>
      </x:c>
      <x:c r="G349" s="14" t="str">
        <x:f>IF(E349="","",IFERROR(VLOOKUP(E349,'02_Bang_gia'!$A$2:$D$13,4,FALSE),"KHÔNG TÌM THẤY"))</x:f>
        <x:v>KHÔNG TÌM THẤY</x:v>
      </x:c>
      <x:c r="H349" s="14" t="str">
        <x:f>IF(ISNUMBER(G349),G349*F349,"")</x:f>
      </x:c>
      <x:c r="I349" t="str">
        <x:v>Đã giao</x:v>
      </x:c>
      <x:c r="J349" s="16" t="n">
        <x:v>46211</x:v>
      </x:c>
      <x:c r="K349" t="str"/>
    </x:row>
    <x:row r="350">
      <x:c r="A350" t="str">
        <x:v>FM20260700349</x:v>
      </x:c>
      <x:c r="B350" s="16" t="n">
        <x:v>46211</x:v>
      </x:c>
      <x:c r="C350" t="str">
        <x:v>FM-03-03</x:v>
      </x:c>
      <x:c r="D350" t="str">
        <x:v>Liên tỉnh</x:v>
      </x:c>
      <x:c r="E350" t="str">
        <x:v>Hỏa tốc</x:v>
      </x:c>
      <x:c r="F350" t="n">
        <x:v>3</x:v>
      </x:c>
      <x:c r="G350" s="14" t="str">
        <x:f>IF(E350="","",IFERROR(VLOOKUP(E350,'02_Bang_gia'!$A$2:$D$13,4,FALSE),"KHÔNG TÌM THẤY"))</x:f>
        <x:v>KHÔNG TÌM THẤY</x:v>
      </x:c>
      <x:c r="H350" s="14" t="str">
        <x:f>IF(ISNUMBER(G350),G350*F350,"")</x:f>
      </x:c>
      <x:c r="I350" t="str">
        <x:v>Đang giao</x:v>
      </x:c>
      <x:c r="J350" s="16"/>
      <x:c r="K350" t="str"/>
    </x:row>
    <x:row r="351">
      <x:c r="A351" t="str">
        <x:v>FM20260700350</x:v>
      </x:c>
      <x:c r="B351" s="16" t="n">
        <x:v>46212</x:v>
      </x:c>
      <x:c r="C351" t="str">
        <x:v>FM-03-04</x:v>
      </x:c>
      <x:c r="D351" t="str">
        <x:v>Liên tỉnh</x:v>
      </x:c>
      <x:c r="E351" t="str">
        <x:v>COD</x:v>
      </x:c>
      <x:c r="F351" t="n">
        <x:v>2</x:v>
      </x:c>
      <x:c r="G351" s="14" t="str">
        <x:f>IF(E351="","",IFERROR(VLOOKUP(E351,'02_Bang_gia'!$A$2:$D$13,4,FALSE),"KHÔNG TÌM THẤY"))</x:f>
        <x:v>KHÔNG TÌM THẤY</x:v>
      </x:c>
      <x:c r="H351" s="14" t="str">
        <x:f>IF(ISNUMBER(G351),G351*F351,"")</x:f>
      </x:c>
      <x:c r="I351" t="str">
        <x:v>Đang giao</x:v>
      </x:c>
      <x:c r="J351" s="16"/>
      <x:c r="K351" t="str"/>
    </x:row>
    <x:row r="352">
      <x:c r="A352" t="str">
        <x:v>FM20260700351</x:v>
      </x:c>
      <x:c r="B352" s="16" t="n">
        <x:v>46213</x:v>
      </x:c>
      <x:c r="C352" t="str">
        <x:v>FM-02-04</x:v>
      </x:c>
      <x:c r="D352" t="str">
        <x:v>Ngoại thành</x:v>
      </x:c>
      <x:c r="E352" t="str">
        <x:v>COD</x:v>
      </x:c>
      <x:c r="F352" t="n">
        <x:v>2</x:v>
      </x:c>
      <x:c r="G352" s="14" t="str">
        <x:f>IF(E352="","",IFERROR(VLOOKUP(E352,'02_Bang_gia'!$A$2:$D$13,4,FALSE),"KHÔNG TÌM THẤY"))</x:f>
        <x:v>KHÔNG TÌM THẤY</x:v>
      </x:c>
      <x:c r="H352" s="14" t="str">
        <x:f>IF(ISNUMBER(G352),G352*F352,"")</x:f>
      </x:c>
      <x:c r="I352" t="str">
        <x:v>Đang giao</x:v>
      </x:c>
      <x:c r="J352" s="16"/>
      <x:c r="K352" t="str"/>
    </x:row>
    <x:row r="353">
      <x:c r="A353" t="str">
        <x:v>FM20260700352</x:v>
      </x:c>
      <x:c r="B353" s="16" t="n">
        <x:v>46214</x:v>
      </x:c>
      <x:c r="C353" t="str">
        <x:v>FM-02-02</x:v>
      </x:c>
      <x:c r="D353" t="str">
        <x:v>Ngoại thành</x:v>
      </x:c>
      <x:c r="E353" t="str">
        <x:v>Tiêu chuẩn</x:v>
      </x:c>
      <x:c r="F353" t="n">
        <x:v>2</x:v>
      </x:c>
      <x:c r="G353" s="14" t="str">
        <x:f>IF(E353="","",IFERROR(VLOOKUP(E353,'02_Bang_gia'!$A$2:$D$13,4,FALSE),"KHÔNG TÌM THẤY"))</x:f>
        <x:v>KHÔNG TÌM THẤY</x:v>
      </x:c>
      <x:c r="H353" s="14" t="str">
        <x:f>IF(ISNUMBER(G353),G353*F353,"")</x:f>
      </x:c>
      <x:c r="I353" t="str">
        <x:v>Đang giao</x:v>
      </x:c>
      <x:c r="J353" s="16"/>
      <x:c r="K353" t="str"/>
    </x:row>
    <x:row r="354">
      <x:c r="A354" t="str">
        <x:v>FM20260700353</x:v>
      </x:c>
      <x:c r="B354" s="16" t="n">
        <x:v>46215</x:v>
      </x:c>
      <x:c r="C354" t="str">
        <x:v>FM-02-03</x:v>
      </x:c>
      <x:c r="D354" t="str">
        <x:v>Ngoại thành</x:v>
      </x:c>
      <x:c r="E354" t="str">
        <x:v>Hỏa tốc</x:v>
      </x:c>
      <x:c r="F354" t="n">
        <x:v>2</x:v>
      </x:c>
      <x:c r="G354" s="14" t="str">
        <x:f>IF(E354="","",IFERROR(VLOOKUP(E354,'02_Bang_gia'!$A$2:$D$13,4,FALSE),"KHÔNG TÌM THẤY"))</x:f>
        <x:v>KHÔNG TÌM THẤY</x:v>
      </x:c>
      <x:c r="H354" s="14" t="str">
        <x:f>IF(ISNUMBER(G354),G354*F354,"")</x:f>
      </x:c>
      <x:c r="I354" t="str">
        <x:v>Đã giao</x:v>
      </x:c>
      <x:c r="J354" s="16" t="n">
        <x:v>46218</x:v>
      </x:c>
      <x:c r="K354" t="str"/>
    </x:row>
    <x:row r="355">
      <x:c r="A355" t="str">
        <x:v>FM20260700354</x:v>
      </x:c>
      <x:c r="B355" s="16" t="n">
        <x:v>46216</x:v>
      </x:c>
      <x:c r="C355" t="str">
        <x:v>FM-02-02</x:v>
      </x:c>
      <x:c r="D355" t="str">
        <x:v>Ngoại thành</x:v>
      </x:c>
      <x:c r="E355" t="str">
        <x:v>Tiêu chuẩn</x:v>
      </x:c>
      <x:c r="F355" t="n">
        <x:v>1</x:v>
      </x:c>
      <x:c r="G355" s="14" t="str">
        <x:f>IF(E355="","",IFERROR(VLOOKUP(E355,'02_Bang_gia'!$A$2:$D$13,4,FALSE),"KHÔNG TÌM THẤY"))</x:f>
        <x:v>KHÔNG TÌM THẤY</x:v>
      </x:c>
      <x:c r="H355" s="14" t="str">
        <x:f>IF(ISNUMBER(G355),G355*F355,"")</x:f>
      </x:c>
      <x:c r="I355" t="str">
        <x:v>Đã giao</x:v>
      </x:c>
      <x:c r="J355" s="16" t="n">
        <x:v>46219</x:v>
      </x:c>
      <x:c r="K355" t="str"/>
    </x:row>
    <x:row r="356">
      <x:c r="A356" t="str">
        <x:v>FM20260700355</x:v>
      </x:c>
      <x:c r="B356" s="16" t="n">
        <x:v>46217</x:v>
      </x:c>
      <x:c r="C356" t="str">
        <x:v>FM-03-03</x:v>
      </x:c>
      <x:c r="D356" t="str">
        <x:v>Liên tỉnh</x:v>
      </x:c>
      <x:c r="E356" t="str">
        <x:v>Hỏa tốc</x:v>
      </x:c>
      <x:c r="F356" t="n">
        <x:v>0.5</x:v>
      </x:c>
      <x:c r="G356" s="14" t="str">
        <x:f>IF(E356="","",IFERROR(VLOOKUP(E356,'02_Bang_gia'!$A$2:$D$13,4,FALSE),"KHÔNG TÌM THẤY"))</x:f>
        <x:v>KHÔNG TÌM THẤY</x:v>
      </x:c>
      <x:c r="H356" s="14" t="str">
        <x:f>IF(ISNUMBER(G356),G356*F356,"")</x:f>
      </x:c>
      <x:c r="I356" t="str">
        <x:v>Đang giao</x:v>
      </x:c>
      <x:c r="J356" s="16"/>
      <x:c r="K356" t="str"/>
    </x:row>
    <x:row r="357">
      <x:c r="A357" t="str">
        <x:v>FM20260700356</x:v>
      </x:c>
      <x:c r="B357" s="16" t="n">
        <x:v>46218</x:v>
      </x:c>
      <x:c r="C357" t="str">
        <x:v>FM-01-02</x:v>
      </x:c>
      <x:c r="D357" t="str">
        <x:v>Nội thành</x:v>
      </x:c>
      <x:c r="E357" t="str">
        <x:v>Tiêu chuẩn</x:v>
      </x:c>
      <x:c r="F357" t="n">
        <x:v>0.5</x:v>
      </x:c>
      <x:c r="G357" s="14" t="str">
        <x:f>IF(E357="","",IFERROR(VLOOKUP(E357,'02_Bang_gia'!$A$2:$D$13,4,FALSE),"KHÔNG TÌM THẤY"))</x:f>
        <x:v>KHÔNG TÌM THẤY</x:v>
      </x:c>
      <x:c r="H357" s="14" t="str">
        <x:f>IF(ISNUMBER(G357),G357*F357,"")</x:f>
      </x:c>
      <x:c r="I357" t="str">
        <x:v>Đang giao</x:v>
      </x:c>
      <x:c r="J357" s="16"/>
      <x:c r="K357" t="str"/>
    </x:row>
    <x:row r="358">
      <x:c r="A358" t="str">
        <x:v>FM20260700357</x:v>
      </x:c>
      <x:c r="B358" s="16" t="n">
        <x:v>46219</x:v>
      </x:c>
      <x:c r="C358" t="str">
        <x:v>FM-02-03</x:v>
      </x:c>
      <x:c r="D358" t="str">
        <x:v>Ngoại thành</x:v>
      </x:c>
      <x:c r="E358" t="str">
        <x:v>Hỏa tốc</x:v>
      </x:c>
      <x:c r="F358" t="n">
        <x:v>1</x:v>
      </x:c>
      <x:c r="G358" s="14" t="str">
        <x:f>IF(E358="","",IFERROR(VLOOKUP(E358,'02_Bang_gia'!$A$2:$D$13,4,FALSE),"KHÔNG TÌM THẤY"))</x:f>
        <x:v>KHÔNG TÌM THẤY</x:v>
      </x:c>
      <x:c r="H358" s="14" t="str">
        <x:f>IF(ISNUMBER(G358),G358*F358,"")</x:f>
      </x:c>
      <x:c r="I358" t="str">
        <x:v>Đã giao</x:v>
      </x:c>
      <x:c r="J358" s="16" t="n">
        <x:v>46222</x:v>
      </x:c>
      <x:c r="K358" t="str"/>
    </x:row>
    <x:row r="359">
      <x:c r="A359" t="str">
        <x:v>FM20260700358</x:v>
      </x:c>
      <x:c r="B359" s="16" t="n">
        <x:v>46220</x:v>
      </x:c>
      <x:c r="C359" t="str">
        <x:v>FM-03-01</x:v>
      </x:c>
      <x:c r="D359" t="str">
        <x:v>Liên tỉnh</x:v>
      </x:c>
      <x:c r="E359" t="str">
        <x:v>Tiết kiệm</x:v>
      </x:c>
      <x:c r="F359" t="n">
        <x:v>5</x:v>
      </x:c>
      <x:c r="G359" s="14" t="str">
        <x:f>IF(E359="","",IFERROR(VLOOKUP(E359,'02_Bang_gia'!$A$2:$D$13,4,FALSE),"KHÔNG TÌM THẤY"))</x:f>
        <x:v>KHÔNG TÌM THẤY</x:v>
      </x:c>
      <x:c r="H359" s="14" t="str">
        <x:f>IF(ISNUMBER(G359),G359*F359,"")</x:f>
      </x:c>
      <x:c r="I359" t="str">
        <x:v>Đã giao</x:v>
      </x:c>
      <x:c r="J359" s="16" t="n">
        <x:v>46223</x:v>
      </x:c>
      <x:c r="K359" t="str"/>
    </x:row>
    <x:row r="360">
      <x:c r="A360" t="str">
        <x:v>FM20260700359</x:v>
      </x:c>
      <x:c r="B360" s="16" t="n">
        <x:v>46221</x:v>
      </x:c>
      <x:c r="C360" t="str">
        <x:v>FM-01-02</x:v>
      </x:c>
      <x:c r="D360" t="str">
        <x:v>Nội thành</x:v>
      </x:c>
      <x:c r="E360" t="str">
        <x:v>Tiêu chuẩn</x:v>
      </x:c>
      <x:c r="F360" t="n">
        <x:v>5</x:v>
      </x:c>
      <x:c r="G360" s="14" t="str">
        <x:f>IF(E360="","",IFERROR(VLOOKUP(E360,'02_Bang_gia'!$A$2:$D$13,4,FALSE),"KHÔNG TÌM THẤY"))</x:f>
        <x:v>KHÔNG TÌM THẤY</x:v>
      </x:c>
      <x:c r="H360" s="14" t="str">
        <x:f>IF(ISNUMBER(G360),G360*F360,"")</x:f>
      </x:c>
      <x:c r="I360" t="str">
        <x:v>Đã giao</x:v>
      </x:c>
      <x:c r="J360" s="16" t="n">
        <x:v>46225</x:v>
      </x:c>
      <x:c r="K360" t="str"/>
    </x:row>
    <x:row r="361">
      <x:c r="A361" t="str">
        <x:v>FM20260700360</x:v>
      </x:c>
      <x:c r="B361" s="16" t="n">
        <x:v>46222</x:v>
      </x:c>
      <x:c r="C361" t="str">
        <x:v>FM-01-01</x:v>
      </x:c>
      <x:c r="D361" t="str">
        <x:v>Nội thành</x:v>
      </x:c>
      <x:c r="E361" t="str">
        <x:v>Tiết kiệm</x:v>
      </x:c>
      <x:c r="F361" t="n">
        <x:v>3</x:v>
      </x:c>
      <x:c r="G361" s="14" t="str">
        <x:f>IF(E361="","",IFERROR(VLOOKUP(E361,'02_Bang_gia'!$A$2:$D$13,4,FALSE),"KHÔNG TÌM THẤY"))</x:f>
        <x:v>KHÔNG TÌM THẤY</x:v>
      </x:c>
      <x:c r="H361" s="14" t="str">
        <x:f>IF(ISNUMBER(G361),G361*F361,"")</x:f>
      </x:c>
      <x:c r="I361" t="str">
        <x:v>Giao thất bại</x:v>
      </x:c>
      <x:c r="J361" s="16"/>
      <x:c r="K361" t="str"/>
    </x:row>
    <x:row r="362">
      <x:c r="A362" t="str">
        <x:v>FM20260700361</x:v>
      </x:c>
      <x:c r="B362" s="16" t="n">
        <x:v>46223</x:v>
      </x:c>
      <x:c r="C362" t="str">
        <x:v>FM-02-01</x:v>
      </x:c>
      <x:c r="D362" t="str">
        <x:v>Ngoại thành</x:v>
      </x:c>
      <x:c r="E362" t="str">
        <x:v>Tiết kiệm</x:v>
      </x:c>
      <x:c r="F362" t="n">
        <x:v>1</x:v>
      </x:c>
      <x:c r="G362" s="14" t="str">
        <x:f>IF(E362="","",IFERROR(VLOOKUP(E362,'02_Bang_gia'!$A$2:$D$13,4,FALSE),"KHÔNG TÌM THẤY"))</x:f>
        <x:v>KHÔNG TÌM THẤY</x:v>
      </x:c>
      <x:c r="H362" s="14" t="str">
        <x:f>IF(ISNUMBER(G362),G362*F362,"")</x:f>
      </x:c>
      <x:c r="I362" t="str">
        <x:v>Đã giao</x:v>
      </x:c>
      <x:c r="J362" s="16" t="n">
        <x:v>46225</x:v>
      </x:c>
      <x:c r="K362" t="str"/>
    </x:row>
    <x:row r="363">
      <x:c r="A363" t="str">
        <x:v>FM20260700362</x:v>
      </x:c>
      <x:c r="B363" s="16" t="n">
        <x:v>46224</x:v>
      </x:c>
      <x:c r="C363" t="str">
        <x:v>FM-03-03</x:v>
      </x:c>
      <x:c r="D363" t="str">
        <x:v>Liên tỉnh</x:v>
      </x:c>
      <x:c r="E363" t="str">
        <x:v>Hỏa tốc</x:v>
      </x:c>
      <x:c r="F363" t="n">
        <x:v>1.5</x:v>
      </x:c>
      <x:c r="G363" s="14" t="str">
        <x:f>IF(E363="","",IFERROR(VLOOKUP(E363,'02_Bang_gia'!$A$2:$D$13,4,FALSE),"KHÔNG TÌM THẤY"))</x:f>
        <x:v>KHÔNG TÌM THẤY</x:v>
      </x:c>
      <x:c r="H363" s="14" t="str">
        <x:f>IF(ISNUMBER(G363),G363*F363,"")</x:f>
      </x:c>
      <x:c r="I363" t="str">
        <x:v>Đã giao</x:v>
      </x:c>
      <x:c r="J363" s="16" t="n">
        <x:v>46225</x:v>
      </x:c>
      <x:c r="K363" t="str"/>
    </x:row>
    <x:row r="364">
      <x:c r="A364" t="str">
        <x:v>FM20260700363</x:v>
      </x:c>
      <x:c r="B364" s="16" t="n">
        <x:v>46225</x:v>
      </x:c>
      <x:c r="C364" t="str">
        <x:v>FM-03-01</x:v>
      </x:c>
      <x:c r="D364" t="str">
        <x:v>Liên tỉnh</x:v>
      </x:c>
      <x:c r="E364" t="str">
        <x:v>Tiết kiệm</x:v>
      </x:c>
      <x:c r="F364" t="n">
        <x:v>3</x:v>
      </x:c>
      <x:c r="G364" s="14" t="str">
        <x:f>IF(E364="","",IFERROR(VLOOKUP(E364,'02_Bang_gia'!$A$2:$D$13,4,FALSE),"KHÔNG TÌM THẤY"))</x:f>
        <x:v>KHÔNG TÌM THẤY</x:v>
      </x:c>
      <x:c r="H364" s="14" t="str">
        <x:f>IF(ISNUMBER(G364),G364*F364,"")</x:f>
      </x:c>
      <x:c r="I364" t="str">
        <x:v>Đã giao</x:v>
      </x:c>
      <x:c r="J364" s="16" t="n">
        <x:v>46228</x:v>
      </x:c>
      <x:c r="K364" t="str"/>
    </x:row>
    <x:row r="365">
      <x:c r="A365" t="str">
        <x:v>FM20260700364</x:v>
      </x:c>
      <x:c r="B365" s="16" t="n">
        <x:v>46226</x:v>
      </x:c>
      <x:c r="C365" t="str">
        <x:v>FM-01-04</x:v>
      </x:c>
      <x:c r="D365" t="str">
        <x:v>Nội thành</x:v>
      </x:c>
      <x:c r="E365" t="str">
        <x:v>COD</x:v>
      </x:c>
      <x:c r="F365" t="n">
        <x:v>3</x:v>
      </x:c>
      <x:c r="G365" s="14" t="str">
        <x:f>IF(E365="","",IFERROR(VLOOKUP(E365,'02_Bang_gia'!$A$2:$D$13,4,FALSE),"KHÔNG TÌM THẤY"))</x:f>
        <x:v>KHÔNG TÌM THẤY</x:v>
      </x:c>
      <x:c r="H365" s="14" t="str">
        <x:f>IF(ISNUMBER(G365),G365*F365,"")</x:f>
      </x:c>
      <x:c r="I365" t="str">
        <x:v>Đang giao</x:v>
      </x:c>
      <x:c r="J365" s="16"/>
      <x:c r="K365" t="str"/>
    </x:row>
    <x:row r="366">
      <x:c r="A366" t="str">
        <x:v>FM20260700365</x:v>
      </x:c>
      <x:c r="B366" s="16" t="n">
        <x:v>46227</x:v>
      </x:c>
      <x:c r="C366" t="str">
        <x:v>FM-03-02</x:v>
      </x:c>
      <x:c r="D366" t="str">
        <x:v>Liên tỉnh</x:v>
      </x:c>
      <x:c r="E366" t="str">
        <x:v>Tiêu chuẩn</x:v>
      </x:c>
      <x:c r="F366" t="n">
        <x:v>3</x:v>
      </x:c>
      <x:c r="G366" s="14" t="str">
        <x:f>IF(E366="","",IFERROR(VLOOKUP(E366,'02_Bang_gia'!$A$2:$D$13,4,FALSE),"KHÔNG TÌM THẤY"))</x:f>
        <x:v>KHÔNG TÌM THẤY</x:v>
      </x:c>
      <x:c r="H366" s="14" t="str">
        <x:f>IF(ISNUMBER(G366),G366*F366,"")</x:f>
      </x:c>
      <x:c r="I366" t="str">
        <x:v>Đã giao</x:v>
      </x:c>
      <x:c r="J366" s="16" t="n">
        <x:v>46228</x:v>
      </x:c>
      <x:c r="K366" t="str"/>
    </x:row>
    <x:row r="367">
      <x:c r="A367" t="str">
        <x:v>FM20260700366</x:v>
      </x:c>
      <x:c r="B367" s="16" t="n">
        <x:v>46228</x:v>
      </x:c>
      <x:c r="C367" t="str">
        <x:v>FM-03-03</x:v>
      </x:c>
      <x:c r="D367" t="str">
        <x:v>Liên tỉnh</x:v>
      </x:c>
      <x:c r="E367" t="str">
        <x:v>Hỏa tốc</x:v>
      </x:c>
      <x:c r="F367" t="n">
        <x:v>1.5</x:v>
      </x:c>
      <x:c r="G367" s="14" t="str">
        <x:f>IF(E367="","",IFERROR(VLOOKUP(E367,'02_Bang_gia'!$A$2:$D$13,4,FALSE),"KHÔNG TÌM THẤY"))</x:f>
        <x:v>KHÔNG TÌM THẤY</x:v>
      </x:c>
      <x:c r="H367" s="14" t="str">
        <x:f>IF(ISNUMBER(G367),G367*F367,"")</x:f>
      </x:c>
      <x:c r="I367" t="str">
        <x:v>Đang giao</x:v>
      </x:c>
      <x:c r="J367" s="16"/>
      <x:c r="K367" t="str"/>
    </x:row>
    <x:row r="368">
      <x:c r="A368" t="str">
        <x:v>FM20260700367</x:v>
      </x:c>
      <x:c r="B368" s="16" t="n">
        <x:v>46229</x:v>
      </x:c>
      <x:c r="C368" t="str">
        <x:v>FM-01-01</x:v>
      </x:c>
      <x:c r="D368" t="str">
        <x:v>Nội thành</x:v>
      </x:c>
      <x:c r="E368" t="str">
        <x:v>Tiết kiệm</x:v>
      </x:c>
      <x:c r="F368" t="n">
        <x:v>1.5</x:v>
      </x:c>
      <x:c r="G368" s="14" t="str">
        <x:f>IF(E368="","",IFERROR(VLOOKUP(E368,'02_Bang_gia'!$A$2:$D$13,4,FALSE),"KHÔNG TÌM THẤY"))</x:f>
        <x:v>KHÔNG TÌM THẤY</x:v>
      </x:c>
      <x:c r="H368" s="14" t="str">
        <x:f>IF(ISNUMBER(G368),G368*F368,"")</x:f>
      </x:c>
      <x:c r="I368" t="str">
        <x:v>Đã giao</x:v>
      </x:c>
      <x:c r="J368" s="16" t="n">
        <x:v>46232</x:v>
      </x:c>
      <x:c r="K368" t="str"/>
    </x:row>
    <x:row r="369">
      <x:c r="A369" t="str">
        <x:v>FM20260700368</x:v>
      </x:c>
      <x:c r="B369" s="16" t="n">
        <x:v>46230</x:v>
      </x:c>
      <x:c r="C369" t="str">
        <x:v>FM-02-02</x:v>
      </x:c>
      <x:c r="D369" t="str">
        <x:v>Ngoại thành</x:v>
      </x:c>
      <x:c r="E369" t="str">
        <x:v>Tiêu chuẩn</x:v>
      </x:c>
      <x:c r="F369" t="n">
        <x:v>3</x:v>
      </x:c>
      <x:c r="G369" s="14" t="str">
        <x:f>IF(E369="","",IFERROR(VLOOKUP(E369,'02_Bang_gia'!$A$2:$D$13,4,FALSE),"KHÔNG TÌM THẤY"))</x:f>
        <x:v>KHÔNG TÌM THẤY</x:v>
      </x:c>
      <x:c r="H369" s="14" t="str">
        <x:f>IF(ISNUMBER(G369),G369*F369,"")</x:f>
      </x:c>
      <x:c r="I369" t="str">
        <x:v>Đã giao</x:v>
      </x:c>
      <x:c r="J369" s="16" t="n">
        <x:v>46232</x:v>
      </x:c>
      <x:c r="K369" t="str"/>
    </x:row>
    <x:row r="370">
      <x:c r="A370" t="str">
        <x:v>FM20260700369</x:v>
      </x:c>
      <x:c r="B370" s="16" t="n">
        <x:v>46231</x:v>
      </x:c>
      <x:c r="C370" t="str">
        <x:v>FM-03-03</x:v>
      </x:c>
      <x:c r="D370" t="str">
        <x:v>Liên tỉnh</x:v>
      </x:c>
      <x:c r="E370" t="str">
        <x:v>Hỏa tốc</x:v>
      </x:c>
      <x:c r="F370" t="n">
        <x:v>5</x:v>
      </x:c>
      <x:c r="G370" s="14" t="str">
        <x:f>IF(E370="","",IFERROR(VLOOKUP(E370,'02_Bang_gia'!$A$2:$D$13,4,FALSE),"KHÔNG TÌM THẤY"))</x:f>
        <x:v>KHÔNG TÌM THẤY</x:v>
      </x:c>
      <x:c r="H370" s="14" t="str">
        <x:f>IF(ISNUMBER(G370),G370*F370,"")</x:f>
      </x:c>
      <x:c r="I370" t="str">
        <x:v>Đã giao</x:v>
      </x:c>
      <x:c r="J370" s="16" t="n">
        <x:v>46233</x:v>
      </x:c>
      <x:c r="K370" t="str"/>
    </x:row>
    <x:row r="371">
      <x:c r="A371" t="str">
        <x:v>FM20260700370</x:v>
      </x:c>
      <x:c r="B371" s="16" t="n">
        <x:v>46232</x:v>
      </x:c>
      <x:c r="C371" t="str">
        <x:v>FM-03-03</x:v>
      </x:c>
      <x:c r="D371" t="str">
        <x:v>Liên tỉnh</x:v>
      </x:c>
      <x:c r="E371" t="str">
        <x:v>Hỏa tốc</x:v>
      </x:c>
      <x:c r="F371" t="n">
        <x:v>0.5</x:v>
      </x:c>
      <x:c r="G371" s="14" t="str">
        <x:f>IF(E371="","",IFERROR(VLOOKUP(E371,'02_Bang_gia'!$A$2:$D$13,4,FALSE),"KHÔNG TÌM THẤY"))</x:f>
        <x:v>KHÔNG TÌM THẤY</x:v>
      </x:c>
      <x:c r="H371" s="14" t="str">
        <x:f>IF(ISNUMBER(G371),G371*F371,"")</x:f>
      </x:c>
      <x:c r="I371" t="str">
        <x:v>Giao thất bại</x:v>
      </x:c>
      <x:c r="J371" s="16"/>
      <x:c r="K371" t="str"/>
    </x:row>
    <x:row r="372">
      <x:c r="A372" t="str">
        <x:v>FM20260700371</x:v>
      </x:c>
      <x:c r="B372" s="16" t="n">
        <x:v>46233</x:v>
      </x:c>
      <x:c r="C372" t="str">
        <x:v>FM-03-04</x:v>
      </x:c>
      <x:c r="D372" t="str">
        <x:v>Liên tỉnh</x:v>
      </x:c>
      <x:c r="E372" t="str">
        <x:v>COD</x:v>
      </x:c>
      <x:c r="F372" t="n">
        <x:v>2</x:v>
      </x:c>
      <x:c r="G372" s="14" t="str">
        <x:f>IF(E372="","",IFERROR(VLOOKUP(E372,'02_Bang_gia'!$A$2:$D$13,4,FALSE),"KHÔNG TÌM THẤY"))</x:f>
        <x:v>KHÔNG TÌM THẤY</x:v>
      </x:c>
      <x:c r="H372" s="14" t="str">
        <x:f>IF(ISNUMBER(G372),G372*F372,"")</x:f>
      </x:c>
      <x:c r="I372" t="str">
        <x:v>Đã giao</x:v>
      </x:c>
      <x:c r="J372" s="16" t="n">
        <x:v>46237</x:v>
      </x:c>
      <x:c r="K372" t="str"/>
    </x:row>
    <x:row r="373">
      <x:c r="A373" t="str">
        <x:v>FM20260700372</x:v>
      </x:c>
      <x:c r="B373" s="16" t="n">
        <x:v>46234</x:v>
      </x:c>
      <x:c r="C373" t="str">
        <x:v>FM-02-04</x:v>
      </x:c>
      <x:c r="D373" t="str">
        <x:v>Ngoại thành</x:v>
      </x:c>
      <x:c r="E373" t="str">
        <x:v>COD</x:v>
      </x:c>
      <x:c r="F373" t="n">
        <x:v>1.5</x:v>
      </x:c>
      <x:c r="G373" s="14" t="str">
        <x:f>IF(E373="","",IFERROR(VLOOKUP(E373,'02_Bang_gia'!$A$2:$D$13,4,FALSE),"KHÔNG TÌM THẤY"))</x:f>
        <x:v>KHÔNG TÌM THẤY</x:v>
      </x:c>
      <x:c r="H373" s="14" t="str">
        <x:f>IF(ISNUMBER(G373),G373*F373,"")</x:f>
      </x:c>
      <x:c r="I373" t="str">
        <x:v>Đã giao</x:v>
      </x:c>
      <x:c r="J373" s="16" t="n">
        <x:v>46237</x:v>
      </x:c>
      <x:c r="K373" t="str"/>
    </x:row>
    <x:row r="374">
      <x:c r="A374" t="str">
        <x:v>FM20260700373</x:v>
      </x:c>
      <x:c r="B374" s="16" t="n">
        <x:v>46204</x:v>
      </x:c>
      <x:c r="C374" t="str">
        <x:v>FM-03-04</x:v>
      </x:c>
      <x:c r="D374" t="str">
        <x:v>Liên tỉnh</x:v>
      </x:c>
      <x:c r="E374" t="str">
        <x:v>COD</x:v>
      </x:c>
      <x:c r="F374" t="n">
        <x:v>0.5</x:v>
      </x:c>
      <x:c r="G374" s="14" t="str">
        <x:f>IF(E374="","",IFERROR(VLOOKUP(E374,'02_Bang_gia'!$A$2:$D$13,4,FALSE),"KHÔNG TÌM THẤY"))</x:f>
        <x:v>KHÔNG TÌM THẤY</x:v>
      </x:c>
      <x:c r="H374" s="14" t="str">
        <x:f>IF(ISNUMBER(G374),G374*F374,"")</x:f>
      </x:c>
      <x:c r="I374" t="str">
        <x:v>Đã giao</x:v>
      </x:c>
      <x:c r="J374" s="16" t="n">
        <x:v>46205</x:v>
      </x:c>
      <x:c r="K374" t="str"/>
    </x:row>
    <x:row r="375">
      <x:c r="A375" t="str">
        <x:v>FM20260700374</x:v>
      </x:c>
      <x:c r="B375" s="16" t="n">
        <x:v>46205</x:v>
      </x:c>
      <x:c r="C375" t="str">
        <x:v>FM-01-03</x:v>
      </x:c>
      <x:c r="D375" t="str">
        <x:v>Nội thành</x:v>
      </x:c>
      <x:c r="E375" t="str">
        <x:v>Hỏa tốc</x:v>
      </x:c>
      <x:c r="F375" t="n">
        <x:v>5</x:v>
      </x:c>
      <x:c r="G375" s="14" t="str">
        <x:f>IF(E375="","",IFERROR(VLOOKUP(E375,'02_Bang_gia'!$A$2:$D$13,4,FALSE),"KHÔNG TÌM THẤY"))</x:f>
        <x:v>KHÔNG TÌM THẤY</x:v>
      </x:c>
      <x:c r="H375" s="14" t="str">
        <x:f>IF(ISNUMBER(G375),G375*F375,"")</x:f>
      </x:c>
      <x:c r="I375" t="str">
        <x:v>Đã giao</x:v>
      </x:c>
      <x:c r="J375" s="16" t="n">
        <x:v>46206</x:v>
      </x:c>
      <x:c r="K375" t="str"/>
    </x:row>
    <x:row r="376">
      <x:c r="A376" t="str">
        <x:v>FM20260700375</x:v>
      </x:c>
      <x:c r="B376" s="16" t="n">
        <x:v>46206</x:v>
      </x:c>
      <x:c r="C376" t="str">
        <x:v>FM-01-02</x:v>
      </x:c>
      <x:c r="D376" t="str">
        <x:v>Nội thành</x:v>
      </x:c>
      <x:c r="E376" t="str">
        <x:v>Tiêu chuẩn</x:v>
      </x:c>
      <x:c r="F376" t="n">
        <x:v>2</x:v>
      </x:c>
      <x:c r="G376" s="14" t="str">
        <x:f>IF(E376="","",IFERROR(VLOOKUP(E376,'02_Bang_gia'!$A$2:$D$13,4,FALSE),"KHÔNG TÌM THẤY"))</x:f>
        <x:v>KHÔNG TÌM THẤY</x:v>
      </x:c>
      <x:c r="H376" s="14" t="str">
        <x:f>IF(ISNUMBER(G376),G376*F376,"")</x:f>
      </x:c>
      <x:c r="I376" t="str">
        <x:v>Đã giao</x:v>
      </x:c>
      <x:c r="J376" s="16" t="n">
        <x:v>46210</x:v>
      </x:c>
      <x:c r="K376" t="str"/>
    </x:row>
    <x:row r="377">
      <x:c r="A377" t="str">
        <x:v>FM20260700376</x:v>
      </x:c>
      <x:c r="B377" s="16" t="n">
        <x:v>46207</x:v>
      </x:c>
      <x:c r="C377" t="str">
        <x:v>FM-03-02</x:v>
      </x:c>
      <x:c r="D377" t="str">
        <x:v>Liên tỉnh</x:v>
      </x:c>
      <x:c r="E377" t="str">
        <x:v>Tiêu chuẩn</x:v>
      </x:c>
      <x:c r="F377" t="n">
        <x:v>1</x:v>
      </x:c>
      <x:c r="G377" s="14" t="str">
        <x:f>IF(E377="","",IFERROR(VLOOKUP(E377,'02_Bang_gia'!$A$2:$D$13,4,FALSE),"KHÔNG TÌM THẤY"))</x:f>
        <x:v>KHÔNG TÌM THẤY</x:v>
      </x:c>
      <x:c r="H377" s="14" t="str">
        <x:f>IF(ISNUMBER(G377),G377*F377,"")</x:f>
      </x:c>
      <x:c r="I377" t="str">
        <x:v>Đã giao</x:v>
      </x:c>
      <x:c r="J377" s="16" t="n">
        <x:v>46210</x:v>
      </x:c>
      <x:c r="K377" t="str"/>
    </x:row>
    <x:row r="378">
      <x:c r="A378" t="str">
        <x:v>FM20260700377</x:v>
      </x:c>
      <x:c r="B378" s="16" t="n">
        <x:v>46208</x:v>
      </x:c>
      <x:c r="C378" t="str">
        <x:v>FM-03-01</x:v>
      </x:c>
      <x:c r="D378" t="str">
        <x:v>Liên tỉnh</x:v>
      </x:c>
      <x:c r="E378" t="str">
        <x:v>Tiết kiệm</x:v>
      </x:c>
      <x:c r="F378" t="n">
        <x:v>0.5</x:v>
      </x:c>
      <x:c r="G378" s="14" t="str">
        <x:f>IF(E378="","",IFERROR(VLOOKUP(E378,'02_Bang_gia'!$A$2:$D$13,4,FALSE),"KHÔNG TÌM THẤY"))</x:f>
        <x:v>KHÔNG TÌM THẤY</x:v>
      </x:c>
      <x:c r="H378" s="14" t="str">
        <x:f>IF(ISNUMBER(G378),G378*F378,"")</x:f>
      </x:c>
      <x:c r="I378" t="str">
        <x:v>Đã giao</x:v>
      </x:c>
      <x:c r="J378" s="16" t="n">
        <x:v>46212</x:v>
      </x:c>
      <x:c r="K378" t="str"/>
    </x:row>
    <x:row r="379">
      <x:c r="A379" t="str">
        <x:v>FM20260700378</x:v>
      </x:c>
      <x:c r="B379" s="16" t="n">
        <x:v>46209</x:v>
      </x:c>
      <x:c r="C379" t="str">
        <x:v>FM-02-01</x:v>
      </x:c>
      <x:c r="D379" t="str">
        <x:v>Ngoại thành</x:v>
      </x:c>
      <x:c r="E379" t="str">
        <x:v>Tiết kiệm</x:v>
      </x:c>
      <x:c r="F379" t="n">
        <x:v>3</x:v>
      </x:c>
      <x:c r="G379" s="14" t="str">
        <x:f>IF(E379="","",IFERROR(VLOOKUP(E379,'02_Bang_gia'!$A$2:$D$13,4,FALSE),"KHÔNG TÌM THẤY"))</x:f>
        <x:v>KHÔNG TÌM THẤY</x:v>
      </x:c>
      <x:c r="H379" s="14" t="str">
        <x:f>IF(ISNUMBER(G379),G379*F379,"")</x:f>
      </x:c>
      <x:c r="I379" t="str">
        <x:v>Đã giao</x:v>
      </x:c>
      <x:c r="J379" s="16" t="n">
        <x:v>46213</x:v>
      </x:c>
      <x:c r="K379" t="str"/>
    </x:row>
    <x:row r="380">
      <x:c r="A380" t="str">
        <x:v>FM20260700379</x:v>
      </x:c>
      <x:c r="B380" s="16" t="n">
        <x:v>46210</x:v>
      </x:c>
      <x:c r="C380" t="str">
        <x:v>FM-03-03</x:v>
      </x:c>
      <x:c r="D380" t="str">
        <x:v>Liên tỉnh</x:v>
      </x:c>
      <x:c r="E380" t="str">
        <x:v>Hỏa tốc</x:v>
      </x:c>
      <x:c r="F380" t="n">
        <x:v>2</x:v>
      </x:c>
      <x:c r="G380" s="14" t="str">
        <x:f>IF(E380="","",IFERROR(VLOOKUP(E380,'02_Bang_gia'!$A$2:$D$13,4,FALSE),"KHÔNG TÌM THẤY"))</x:f>
        <x:v>KHÔNG TÌM THẤY</x:v>
      </x:c>
      <x:c r="H380" s="14" t="str">
        <x:f>IF(ISNUMBER(G380),G380*F380,"")</x:f>
      </x:c>
      <x:c r="I380" t="str">
        <x:v>Đã giao</x:v>
      </x:c>
      <x:c r="J380" s="16" t="n">
        <x:v>46212</x:v>
      </x:c>
      <x:c r="K380" t="str"/>
    </x:row>
    <x:row r="381">
      <x:c r="A381" t="str">
        <x:v>FM20260700380</x:v>
      </x:c>
      <x:c r="B381" s="16" t="n">
        <x:v>46211</x:v>
      </x:c>
      <x:c r="C381" t="str">
        <x:v>FM-03-02</x:v>
      </x:c>
      <x:c r="D381" t="str">
        <x:v>Liên tỉnh</x:v>
      </x:c>
      <x:c r="E381" t="str">
        <x:v>Tiêu chuẩn</x:v>
      </x:c>
      <x:c r="F381" t="n">
        <x:v>1.5</x:v>
      </x:c>
      <x:c r="G381" s="14" t="str">
        <x:f>IF(E381="","",IFERROR(VLOOKUP(E381,'02_Bang_gia'!$A$2:$D$13,4,FALSE),"KHÔNG TÌM THẤY"))</x:f>
        <x:v>KHÔNG TÌM THẤY</x:v>
      </x:c>
      <x:c r="H381" s="14" t="str">
        <x:f>IF(ISNUMBER(G381),G381*F381,"")</x:f>
      </x:c>
      <x:c r="I381" t="str">
        <x:v>Đã giao</x:v>
      </x:c>
      <x:c r="J381" s="16" t="n">
        <x:v>46213</x:v>
      </x:c>
      <x:c r="K381" t="str"/>
    </x:row>
    <x:row r="382">
      <x:c r="A382" t="str">
        <x:v>FM20260700381</x:v>
      </x:c>
      <x:c r="B382" s="16" t="n">
        <x:v>46212</x:v>
      </x:c>
      <x:c r="C382" t="str">
        <x:v>FM-01-04</x:v>
      </x:c>
      <x:c r="D382" t="str">
        <x:v>Nội thành</x:v>
      </x:c>
      <x:c r="E382" t="str">
        <x:v>COD</x:v>
      </x:c>
      <x:c r="F382" t="n">
        <x:v>1.5</x:v>
      </x:c>
      <x:c r="G382" s="14" t="str">
        <x:f>IF(E382="","",IFERROR(VLOOKUP(E382,'02_Bang_gia'!$A$2:$D$13,4,FALSE),"KHÔNG TÌM THẤY"))</x:f>
        <x:v>KHÔNG TÌM THẤY</x:v>
      </x:c>
      <x:c r="H382" s="14" t="str">
        <x:f>IF(ISNUMBER(G382),G382*F382,"")</x:f>
      </x:c>
      <x:c r="I382" t="str">
        <x:v>Đã giao</x:v>
      </x:c>
      <x:c r="J382" s="16" t="n">
        <x:v>46215</x:v>
      </x:c>
      <x:c r="K382" t="str"/>
    </x:row>
    <x:row r="383">
      <x:c r="A383" t="str">
        <x:v>FM20260700382</x:v>
      </x:c>
      <x:c r="B383" s="16" t="n">
        <x:v>46213</x:v>
      </x:c>
      <x:c r="C383" t="str">
        <x:v>FM-02-02</x:v>
      </x:c>
      <x:c r="D383" t="str">
        <x:v>Ngoại thành</x:v>
      </x:c>
      <x:c r="E383" t="str">
        <x:v>Tiêu chuẩn</x:v>
      </x:c>
      <x:c r="F383" t="n">
        <x:v>5</x:v>
      </x:c>
      <x:c r="G383" s="14" t="str">
        <x:f>IF(E383="","",IFERROR(VLOOKUP(E383,'02_Bang_gia'!$A$2:$D$13,4,FALSE),"KHÔNG TÌM THẤY"))</x:f>
        <x:v>KHÔNG TÌM THẤY</x:v>
      </x:c>
      <x:c r="H383" s="14" t="str">
        <x:f>IF(ISNUMBER(G383),G383*F383,"")</x:f>
      </x:c>
      <x:c r="I383" t="str">
        <x:v>Đã giao</x:v>
      </x:c>
      <x:c r="J383" s="16" t="n">
        <x:v>46217</x:v>
      </x:c>
      <x:c r="K383" t="str"/>
    </x:row>
    <x:row r="384">
      <x:c r="A384" t="str">
        <x:v>FM20260700383</x:v>
      </x:c>
      <x:c r="B384" s="16" t="n">
        <x:v>46214</x:v>
      </x:c>
      <x:c r="C384" t="str">
        <x:v>FM-02-03</x:v>
      </x:c>
      <x:c r="D384" t="str">
        <x:v>Ngoại thành</x:v>
      </x:c>
      <x:c r="E384" t="str">
        <x:v>Hỏa tốc</x:v>
      </x:c>
      <x:c r="F384" t="n">
        <x:v>3</x:v>
      </x:c>
      <x:c r="G384" s="14" t="str">
        <x:f>IF(E384="","",IFERROR(VLOOKUP(E384,'02_Bang_gia'!$A$2:$D$13,4,FALSE),"KHÔNG TÌM THẤY"))</x:f>
        <x:v>KHÔNG TÌM THẤY</x:v>
      </x:c>
      <x:c r="H384" s="14" t="str">
        <x:f>IF(ISNUMBER(G384),G384*F384,"")</x:f>
      </x:c>
      <x:c r="I384" t="str">
        <x:v>Đã giao</x:v>
      </x:c>
      <x:c r="J384" s="16" t="n">
        <x:v>46218</x:v>
      </x:c>
      <x:c r="K384" t="str"/>
    </x:row>
    <x:row r="385">
      <x:c r="A385" t="str">
        <x:v>FM20260700384</x:v>
      </x:c>
      <x:c r="B385" s="16" t="n">
        <x:v>46215</x:v>
      </x:c>
      <x:c r="C385" t="str">
        <x:v>FM-03-04</x:v>
      </x:c>
      <x:c r="D385" t="str">
        <x:v>Liên tỉnh</x:v>
      </x:c>
      <x:c r="E385" t="str">
        <x:v>COD</x:v>
      </x:c>
      <x:c r="F385" t="n">
        <x:v>0.5</x:v>
      </x:c>
      <x:c r="G385" s="14" t="str">
        <x:f>IF(E385="","",IFERROR(VLOOKUP(E385,'02_Bang_gia'!$A$2:$D$13,4,FALSE),"KHÔNG TÌM THẤY"))</x:f>
        <x:v>KHÔNG TÌM THẤY</x:v>
      </x:c>
      <x:c r="H385" s="14" t="str">
        <x:f>IF(ISNUMBER(G385),G385*F385,"")</x:f>
      </x:c>
      <x:c r="I385" t="str">
        <x:v>Đã giao</x:v>
      </x:c>
      <x:c r="J385" s="16" t="n">
        <x:v>46218</x:v>
      </x:c>
      <x:c r="K385" t="str"/>
    </x:row>
    <x:row r="386">
      <x:c r="A386" t="str">
        <x:v>FM20260700385</x:v>
      </x:c>
      <x:c r="B386" s="16" t="n">
        <x:v>46216</x:v>
      </x:c>
      <x:c r="C386" t="str">
        <x:v>FM-02-03</x:v>
      </x:c>
      <x:c r="D386" t="str">
        <x:v>Ngoại thành</x:v>
      </x:c>
      <x:c r="E386" t="str">
        <x:v>Hỏa tốc</x:v>
      </x:c>
      <x:c r="F386" t="n">
        <x:v>0.5</x:v>
      </x:c>
      <x:c r="G386" s="14" t="str">
        <x:f>IF(E386="","",IFERROR(VLOOKUP(E386,'02_Bang_gia'!$A$2:$D$13,4,FALSE),"KHÔNG TÌM THẤY"))</x:f>
        <x:v>KHÔNG TÌM THẤY</x:v>
      </x:c>
      <x:c r="H386" s="14" t="str">
        <x:f>IF(ISNUMBER(G386),G386*F386,"")</x:f>
      </x:c>
      <x:c r="I386" t="str">
        <x:v>Đang giao</x:v>
      </x:c>
      <x:c r="J386" s="16"/>
      <x:c r="K386" t="str"/>
    </x:row>
    <x:row r="387">
      <x:c r="A387" t="str">
        <x:v>FM20260700386</x:v>
      </x:c>
      <x:c r="B387" s="16" t="n">
        <x:v>46217</x:v>
      </x:c>
      <x:c r="C387" t="str">
        <x:v>FM-02-03</x:v>
      </x:c>
      <x:c r="D387" t="str">
        <x:v>Ngoại thành</x:v>
      </x:c>
      <x:c r="E387" t="str">
        <x:v>Hỏa tốc</x:v>
      </x:c>
      <x:c r="F387" t="n">
        <x:v>1.5</x:v>
      </x:c>
      <x:c r="G387" s="14" t="str">
        <x:f>IF(E387="","",IFERROR(VLOOKUP(E387,'02_Bang_gia'!$A$2:$D$13,4,FALSE),"KHÔNG TÌM THẤY"))</x:f>
        <x:v>KHÔNG TÌM THẤY</x:v>
      </x:c>
      <x:c r="H387" s="14" t="str">
        <x:f>IF(ISNUMBER(G387),G387*F387,"")</x:f>
      </x:c>
      <x:c r="I387" t="str">
        <x:v>Đã giao</x:v>
      </x:c>
      <x:c r="J387" s="16" t="n">
        <x:v>46218</x:v>
      </x:c>
      <x:c r="K387" t="str"/>
    </x:row>
    <x:row r="388">
      <x:c r="A388" t="str">
        <x:v>FM20260700387</x:v>
      </x:c>
      <x:c r="B388" s="16" t="n">
        <x:v>46218</x:v>
      </x:c>
      <x:c r="C388" t="str">
        <x:v>FM-03-02</x:v>
      </x:c>
      <x:c r="D388" t="str">
        <x:v>Liên tỉnh</x:v>
      </x:c>
      <x:c r="E388" t="str">
        <x:v>Tiêu chuẩn</x:v>
      </x:c>
      <x:c r="F388" t="n">
        <x:v>5</x:v>
      </x:c>
      <x:c r="G388" s="14" t="str">
        <x:f>IF(E388="","",IFERROR(VLOOKUP(E388,'02_Bang_gia'!$A$2:$D$13,4,FALSE),"KHÔNG TÌM THẤY"))</x:f>
        <x:v>KHÔNG TÌM THẤY</x:v>
      </x:c>
      <x:c r="H388" s="14" t="str">
        <x:f>IF(ISNUMBER(G388),G388*F388,"")</x:f>
      </x:c>
      <x:c r="I388" t="str">
        <x:v>Đã giao</x:v>
      </x:c>
      <x:c r="J388" s="16" t="n">
        <x:v>46222</x:v>
      </x:c>
      <x:c r="K388" t="str"/>
    </x:row>
    <x:row r="389">
      <x:c r="A389" t="str">
        <x:v>FM20260700388</x:v>
      </x:c>
      <x:c r="B389" s="16" t="n">
        <x:v>46219</x:v>
      </x:c>
      <x:c r="C389" t="str">
        <x:v>FM-03-03</x:v>
      </x:c>
      <x:c r="D389" t="str">
        <x:v>Liên tỉnh</x:v>
      </x:c>
      <x:c r="E389" t="str">
        <x:v>Hỏa tốc</x:v>
      </x:c>
      <x:c r="F389" t="n">
        <x:v>2</x:v>
      </x:c>
      <x:c r="G389" s="14" t="str">
        <x:f>IF(E389="","",IFERROR(VLOOKUP(E389,'02_Bang_gia'!$A$2:$D$13,4,FALSE),"KHÔNG TÌM THẤY"))</x:f>
        <x:v>KHÔNG TÌM THẤY</x:v>
      </x:c>
      <x:c r="H389" s="14" t="str">
        <x:f>IF(ISNUMBER(G389),G389*F389,"")</x:f>
      </x:c>
      <x:c r="I389" t="str">
        <x:v>Đã giao</x:v>
      </x:c>
      <x:c r="J389" s="16" t="n">
        <x:v>46220</x:v>
      </x:c>
      <x:c r="K389" t="str"/>
    </x:row>
    <x:row r="390">
      <x:c r="A390" t="str">
        <x:v>FM20260700389</x:v>
      </x:c>
      <x:c r="B390" s="16" t="n">
        <x:v>46220</x:v>
      </x:c>
      <x:c r="C390" t="str">
        <x:v>FM-01-01</x:v>
      </x:c>
      <x:c r="D390" t="str">
        <x:v>Nội thành</x:v>
      </x:c>
      <x:c r="E390" t="str">
        <x:v>Tiết kiệm</x:v>
      </x:c>
      <x:c r="F390" t="n">
        <x:v>1</x:v>
      </x:c>
      <x:c r="G390" s="14" t="str">
        <x:f>IF(E390="","",IFERROR(VLOOKUP(E390,'02_Bang_gia'!$A$2:$D$13,4,FALSE),"KHÔNG TÌM THẤY"))</x:f>
        <x:v>KHÔNG TÌM THẤY</x:v>
      </x:c>
      <x:c r="H390" s="14" t="str">
        <x:f>IF(ISNUMBER(G390),G390*F390,"")</x:f>
      </x:c>
      <x:c r="I390" t="str">
        <x:v>Giao thất bại</x:v>
      </x:c>
      <x:c r="J390" s="16"/>
      <x:c r="K390" t="str"/>
    </x:row>
    <x:row r="391">
      <x:c r="A391" t="str">
        <x:v>FM20260700390</x:v>
      </x:c>
      <x:c r="B391" s="16" t="n">
        <x:v>46221</x:v>
      </x:c>
      <x:c r="C391" t="str">
        <x:v>FM-03-02</x:v>
      </x:c>
      <x:c r="D391" t="str">
        <x:v>Liên tỉnh</x:v>
      </x:c>
      <x:c r="E391" t="str">
        <x:v>Tiêu chuẩn</x:v>
      </x:c>
      <x:c r="F391" t="n">
        <x:v>0.5</x:v>
      </x:c>
      <x:c r="G391" s="14" t="str">
        <x:f>IF(E391="","",IFERROR(VLOOKUP(E391,'02_Bang_gia'!$A$2:$D$13,4,FALSE),"KHÔNG TÌM THẤY"))</x:f>
        <x:v>KHÔNG TÌM THẤY</x:v>
      </x:c>
      <x:c r="H391" s="14" t="str">
        <x:f>IF(ISNUMBER(G391),G391*F391,"")</x:f>
      </x:c>
      <x:c r="I391" t="str">
        <x:v>Đã giao</x:v>
      </x:c>
      <x:c r="J391" s="16" t="n">
        <x:v>46224</x:v>
      </x:c>
      <x:c r="K391" t="str"/>
    </x:row>
    <x:row r="392">
      <x:c r="A392" t="str">
        <x:v>FM20260700391</x:v>
      </x:c>
      <x:c r="B392" s="16" t="n">
        <x:v>46222</x:v>
      </x:c>
      <x:c r="C392" t="str">
        <x:v>FM-02-03</x:v>
      </x:c>
      <x:c r="D392" t="str">
        <x:v>Ngoại thành</x:v>
      </x:c>
      <x:c r="E392" t="str">
        <x:v>Hỏa tốc</x:v>
      </x:c>
      <x:c r="F392" t="n">
        <x:v>1</x:v>
      </x:c>
      <x:c r="G392" s="14" t="str">
        <x:f>IF(E392="","",IFERROR(VLOOKUP(E392,'02_Bang_gia'!$A$2:$D$13,4,FALSE),"KHÔNG TÌM THẤY"))</x:f>
        <x:v>KHÔNG TÌM THẤY</x:v>
      </x:c>
      <x:c r="H392" s="14" t="str">
        <x:f>IF(ISNUMBER(G392),G392*F392,"")</x:f>
      </x:c>
      <x:c r="I392" t="str">
        <x:v>Đang giao</x:v>
      </x:c>
      <x:c r="J392" s="16"/>
      <x:c r="K392" t="str"/>
    </x:row>
    <x:row r="393">
      <x:c r="A393" t="str">
        <x:v>FM20260700392</x:v>
      </x:c>
      <x:c r="B393" s="16" t="n">
        <x:v>46223</x:v>
      </x:c>
      <x:c r="C393" t="str">
        <x:v>FM-02-03</x:v>
      </x:c>
      <x:c r="D393" t="str">
        <x:v>Ngoại thành</x:v>
      </x:c>
      <x:c r="E393" t="str">
        <x:v>Hỏa tốc</x:v>
      </x:c>
      <x:c r="F393" t="n">
        <x:v>2</x:v>
      </x:c>
      <x:c r="G393" s="14" t="str">
        <x:f>IF(E393="","",IFERROR(VLOOKUP(E393,'02_Bang_gia'!$A$2:$D$13,4,FALSE),"KHÔNG TÌM THẤY"))</x:f>
        <x:v>KHÔNG TÌM THẤY</x:v>
      </x:c>
      <x:c r="H393" s="14" t="str">
        <x:f>IF(ISNUMBER(G393),G393*F393,"")</x:f>
      </x:c>
      <x:c r="I393" t="str">
        <x:v>Đã giao</x:v>
      </x:c>
      <x:c r="J393" s="16" t="n">
        <x:v>46224</x:v>
      </x:c>
      <x:c r="K393" t="str"/>
    </x:row>
    <x:row r="394">
      <x:c r="A394" t="str">
        <x:v>FM20260700393</x:v>
      </x:c>
      <x:c r="B394" s="16" t="n">
        <x:v>46224</x:v>
      </x:c>
      <x:c r="C394" t="str">
        <x:v>FM-02-01</x:v>
      </x:c>
      <x:c r="D394" t="str">
        <x:v>Ngoại thành</x:v>
      </x:c>
      <x:c r="E394" t="str">
        <x:v>Tiết kiệm</x:v>
      </x:c>
      <x:c r="F394" t="n">
        <x:v>1.5</x:v>
      </x:c>
      <x:c r="G394" s="14" t="str">
        <x:f>IF(E394="","",IFERROR(VLOOKUP(E394,'02_Bang_gia'!$A$2:$D$13,4,FALSE),"KHÔNG TÌM THẤY"))</x:f>
        <x:v>KHÔNG TÌM THẤY</x:v>
      </x:c>
      <x:c r="H394" s="14" t="str">
        <x:f>IF(ISNUMBER(G394),G394*F394,"")</x:f>
      </x:c>
      <x:c r="I394" t="str">
        <x:v>Đã giao</x:v>
      </x:c>
      <x:c r="J394" s="16" t="n">
        <x:v>46226</x:v>
      </x:c>
      <x:c r="K394" t="str"/>
    </x:row>
    <x:row r="395">
      <x:c r="A395" t="str">
        <x:v>FM20260700394</x:v>
      </x:c>
      <x:c r="B395" s="16" t="n">
        <x:v>46225</x:v>
      </x:c>
      <x:c r="C395" t="str">
        <x:v>FM-01-03</x:v>
      </x:c>
      <x:c r="D395" t="str">
        <x:v>Nội thành</x:v>
      </x:c>
      <x:c r="E395" t="str">
        <x:v>Hỏa tốc</x:v>
      </x:c>
      <x:c r="F395" t="n">
        <x:v>3</x:v>
      </x:c>
      <x:c r="G395" s="14" t="str">
        <x:f>IF(E395="","",IFERROR(VLOOKUP(E395,'02_Bang_gia'!$A$2:$D$13,4,FALSE),"KHÔNG TÌM THẤY"))</x:f>
        <x:v>KHÔNG TÌM THẤY</x:v>
      </x:c>
      <x:c r="H395" s="14" t="str">
        <x:f>IF(ISNUMBER(G395),G395*F395,"")</x:f>
      </x:c>
      <x:c r="I395" t="str">
        <x:v>Đã giao</x:v>
      </x:c>
      <x:c r="J395" s="16" t="n">
        <x:v>46226</x:v>
      </x:c>
      <x:c r="K395" t="str"/>
    </x:row>
    <x:row r="396">
      <x:c r="A396" t="str">
        <x:v>FM20260700395</x:v>
      </x:c>
      <x:c r="B396" s="16" t="n">
        <x:v>46226</x:v>
      </x:c>
      <x:c r="C396" t="str">
        <x:v>FM-03-01</x:v>
      </x:c>
      <x:c r="D396" t="str">
        <x:v>Liên tỉnh</x:v>
      </x:c>
      <x:c r="E396" t="str">
        <x:v>Tiết kiệm</x:v>
      </x:c>
      <x:c r="F396" t="n">
        <x:v>1.5</x:v>
      </x:c>
      <x:c r="G396" s="14" t="str">
        <x:f>IF(E396="","",IFERROR(VLOOKUP(E396,'02_Bang_gia'!$A$2:$D$13,4,FALSE),"KHÔNG TÌM THẤY"))</x:f>
        <x:v>KHÔNG TÌM THẤY</x:v>
      </x:c>
      <x:c r="H396" s="14" t="str">
        <x:f>IF(ISNUMBER(G396),G396*F396,"")</x:f>
      </x:c>
      <x:c r="I396" t="str">
        <x:v>Đã giao</x:v>
      </x:c>
      <x:c r="J396" s="16" t="n">
        <x:v>46229</x:v>
      </x:c>
      <x:c r="K396" t="str"/>
    </x:row>
    <x:row r="397">
      <x:c r="A397" t="str">
        <x:v>FM20260700396</x:v>
      </x:c>
      <x:c r="B397" s="16" t="n">
        <x:v>46227</x:v>
      </x:c>
      <x:c r="C397" t="str">
        <x:v>FM-03-04</x:v>
      </x:c>
      <x:c r="D397" t="str">
        <x:v>Liên tỉnh</x:v>
      </x:c>
      <x:c r="E397" t="str">
        <x:v>COD</x:v>
      </x:c>
      <x:c r="F397" t="n">
        <x:v>5</x:v>
      </x:c>
      <x:c r="G397" s="14" t="str">
        <x:f>IF(E397="","",IFERROR(VLOOKUP(E397,'02_Bang_gia'!$A$2:$D$13,4,FALSE),"KHÔNG TÌM THẤY"))</x:f>
        <x:v>KHÔNG TÌM THẤY</x:v>
      </x:c>
      <x:c r="H397" s="14" t="str">
        <x:f>IF(ISNUMBER(G397),G397*F397,"")</x:f>
      </x:c>
      <x:c r="I397" t="str">
        <x:v>Giao thất bại</x:v>
      </x:c>
      <x:c r="J397" s="16"/>
      <x:c r="K397" t="str"/>
    </x:row>
    <x:row r="398">
      <x:c r="A398" t="str">
        <x:v>FM20260700397</x:v>
      </x:c>
      <x:c r="B398" s="16" t="n">
        <x:v>46228</x:v>
      </x:c>
      <x:c r="C398" t="str">
        <x:v>FM-01-03</x:v>
      </x:c>
      <x:c r="D398" t="str">
        <x:v>Nội thành</x:v>
      </x:c>
      <x:c r="E398" t="str">
        <x:v>Hỏa tốc</x:v>
      </x:c>
      <x:c r="F398" t="n">
        <x:v>1.5</x:v>
      </x:c>
      <x:c r="G398" s="14" t="str">
        <x:f>IF(E398="","",IFERROR(VLOOKUP(E398,'02_Bang_gia'!$A$2:$D$13,4,FALSE),"KHÔNG TÌM THẤY"))</x:f>
        <x:v>KHÔNG TÌM THẤY</x:v>
      </x:c>
      <x:c r="H398" s="14" t="str">
        <x:f>IF(ISNUMBER(G398),G398*F398,"")</x:f>
      </x:c>
      <x:c r="I398" t="str">
        <x:v>Đã giao</x:v>
      </x:c>
      <x:c r="J398" s="16" t="n">
        <x:v>46230</x:v>
      </x:c>
      <x:c r="K398" t="str"/>
    </x:row>
    <x:row r="399">
      <x:c r="A399" t="str">
        <x:v>FM20260700398</x:v>
      </x:c>
      <x:c r="B399" s="16" t="n">
        <x:v>46229</x:v>
      </x:c>
      <x:c r="C399" t="str">
        <x:v>FM-01-04</x:v>
      </x:c>
      <x:c r="D399" t="str">
        <x:v>Nội thành</x:v>
      </x:c>
      <x:c r="E399" t="str">
        <x:v>COD</x:v>
      </x:c>
      <x:c r="F399" t="n">
        <x:v>5</x:v>
      </x:c>
      <x:c r="G399" s="14" t="str">
        <x:f>IF(E399="","",IFERROR(VLOOKUP(E399,'02_Bang_gia'!$A$2:$D$13,4,FALSE),"KHÔNG TÌM THẤY"))</x:f>
        <x:v>KHÔNG TÌM THẤY</x:v>
      </x:c>
      <x:c r="H399" s="14" t="str">
        <x:f>IF(ISNUMBER(G399),G399*F399,"")</x:f>
      </x:c>
      <x:c r="I399" t="str">
        <x:v>Đã giao</x:v>
      </x:c>
      <x:c r="J399" s="16" t="n">
        <x:v>46231</x:v>
      </x:c>
      <x:c r="K399" t="str"/>
    </x:row>
    <x:row r="400">
      <x:c r="A400" t="str">
        <x:v>FM20260700399</x:v>
      </x:c>
      <x:c r="B400" s="16" t="n">
        <x:v>46230</x:v>
      </x:c>
      <x:c r="C400" t="str">
        <x:v>FM-01-02</x:v>
      </x:c>
      <x:c r="D400" t="str">
        <x:v>Nội thành</x:v>
      </x:c>
      <x:c r="E400" t="str">
        <x:v>Tiêu chuẩn</x:v>
      </x:c>
      <x:c r="F400" t="n">
        <x:v>2</x:v>
      </x:c>
      <x:c r="G400" s="14" t="str">
        <x:f>IF(E400="","",IFERROR(VLOOKUP(E400,'02_Bang_gia'!$A$2:$D$13,4,FALSE),"KHÔNG TÌM THẤY"))</x:f>
        <x:v>KHÔNG TÌM THẤY</x:v>
      </x:c>
      <x:c r="H400" s="14" t="str">
        <x:f>IF(ISNUMBER(G400),G400*F400,"")</x:f>
      </x:c>
      <x:c r="I400" t="str">
        <x:v>Đã giao</x:v>
      </x:c>
      <x:c r="J400" s="16" t="n">
        <x:v>46234</x:v>
      </x:c>
      <x:c r="K400" t="str"/>
    </x:row>
    <x:row r="401">
      <x:c r="A401" t="str">
        <x:v>FM20260700400</x:v>
      </x:c>
      <x:c r="B401" s="16" t="n">
        <x:v>46231</x:v>
      </x:c>
      <x:c r="C401" t="str">
        <x:v>FM-03-02</x:v>
      </x:c>
      <x:c r="D401" t="str">
        <x:v>Liên tỉnh</x:v>
      </x:c>
      <x:c r="E401" t="str">
        <x:v>Tiêu chuẩn</x:v>
      </x:c>
      <x:c r="F401" t="n">
        <x:v>5</x:v>
      </x:c>
      <x:c r="G401" s="14" t="str">
        <x:f>IF(E401="","",IFERROR(VLOOKUP(E401,'02_Bang_gia'!$A$2:$D$13,4,FALSE),"KHÔNG TÌM THẤY"))</x:f>
        <x:v>KHÔNG TÌM THẤY</x:v>
      </x:c>
      <x:c r="H401" s="14" t="str">
        <x:f>IF(ISNUMBER(G401),G401*F401,"")</x:f>
      </x:c>
      <x:c r="I401" t="str">
        <x:v>Đã giao</x:v>
      </x:c>
      <x:c r="J401" s="16" t="n">
        <x:v>46235</x:v>
      </x:c>
      <x:c r="K401" t="str"/>
    </x:row>
    <x:row r="402">
      <x:c r="A402" t="str">
        <x:v>FM20260700401</x:v>
      </x:c>
      <x:c r="B402" s="16" t="n">
        <x:v>46232</x:v>
      </x:c>
      <x:c r="C402" t="str">
        <x:v>FM-03-02</x:v>
      </x:c>
      <x:c r="D402" t="str">
        <x:v>Liên tỉnh</x:v>
      </x:c>
      <x:c r="E402" t="str">
        <x:v>Tiêu chuẩn</x:v>
      </x:c>
      <x:c r="F402" t="n">
        <x:v>5</x:v>
      </x:c>
      <x:c r="G402" s="14" t="str">
        <x:f>IF(E402="","",IFERROR(VLOOKUP(E402,'02_Bang_gia'!$A$2:$D$13,4,FALSE),"KHÔNG TÌM THẤY"))</x:f>
        <x:v>KHÔNG TÌM THẤY</x:v>
      </x:c>
      <x:c r="H402" s="14" t="str">
        <x:f>IF(ISNUMBER(G402),G402*F402,"")</x:f>
      </x:c>
      <x:c r="I402" t="str">
        <x:v>Đã giao</x:v>
      </x:c>
      <x:c r="J402" s="16" t="n">
        <x:v>46235</x:v>
      </x:c>
      <x:c r="K402" t="str"/>
    </x:row>
    <x:row r="403">
      <x:c r="A403" t="str">
        <x:v>FM20260700402</x:v>
      </x:c>
      <x:c r="B403" s="16" t="n">
        <x:v>46233</x:v>
      </x:c>
      <x:c r="C403" t="str">
        <x:v>FM-02-02</x:v>
      </x:c>
      <x:c r="D403" t="str">
        <x:v>Ngoại thành</x:v>
      </x:c>
      <x:c r="E403" t="str">
        <x:v>Tiêu chuẩn</x:v>
      </x:c>
      <x:c r="F403" t="n">
        <x:v>2</x:v>
      </x:c>
      <x:c r="G403" s="14" t="str">
        <x:f>IF(E403="","",IFERROR(VLOOKUP(E403,'02_Bang_gia'!$A$2:$D$13,4,FALSE),"KHÔNG TÌM THẤY"))</x:f>
        <x:v>KHÔNG TÌM THẤY</x:v>
      </x:c>
      <x:c r="H403" s="14" t="str">
        <x:f>IF(ISNUMBER(G403),G403*F403,"")</x:f>
      </x:c>
      <x:c r="I403" t="str">
        <x:v>Đã giao</x:v>
      </x:c>
      <x:c r="J403" s="16" t="n">
        <x:v>46234</x:v>
      </x:c>
      <x:c r="K403" t="str"/>
    </x:row>
    <x:row r="404">
      <x:c r="A404" t="str">
        <x:v>FM20260700403</x:v>
      </x:c>
      <x:c r="B404" s="16" t="n">
        <x:v>46234</x:v>
      </x:c>
      <x:c r="C404" t="str">
        <x:v>FM-02-04</x:v>
      </x:c>
      <x:c r="D404" t="str">
        <x:v>Ngoại thành</x:v>
      </x:c>
      <x:c r="E404" t="str">
        <x:v>COD</x:v>
      </x:c>
      <x:c r="F404" t="n">
        <x:v>3</x:v>
      </x:c>
      <x:c r="G404" s="14" t="str">
        <x:f>IF(E404="","",IFERROR(VLOOKUP(E404,'02_Bang_gia'!$A$2:$D$13,4,FALSE),"KHÔNG TÌM THẤY"))</x:f>
        <x:v>KHÔNG TÌM THẤY</x:v>
      </x:c>
      <x:c r="H404" s="14" t="str">
        <x:f>IF(ISNUMBER(G404),G404*F404,"")</x:f>
      </x:c>
      <x:c r="I404" t="str">
        <x:v>Đã giao</x:v>
      </x:c>
      <x:c r="J404" s="16" t="n">
        <x:v>46237</x:v>
      </x:c>
      <x:c r="K404" t="str"/>
    </x:row>
    <x:row r="405">
      <x:c r="A405" t="str">
        <x:v>FM20260700404</x:v>
      </x:c>
      <x:c r="B405" s="16" t="n">
        <x:v>46204</x:v>
      </x:c>
      <x:c r="C405" t="str">
        <x:v>FM-01-01</x:v>
      </x:c>
      <x:c r="D405" t="str">
        <x:v>Nội thành</x:v>
      </x:c>
      <x:c r="E405" t="str">
        <x:v>Tiết kiệm</x:v>
      </x:c>
      <x:c r="F405" t="n">
        <x:v>1.5</x:v>
      </x:c>
      <x:c r="G405" s="14" t="str">
        <x:f>IF(E405="","",IFERROR(VLOOKUP(E405,'02_Bang_gia'!$A$2:$D$13,4,FALSE),"KHÔNG TÌM THẤY"))</x:f>
        <x:v>KHÔNG TÌM THẤY</x:v>
      </x:c>
      <x:c r="H405" s="14" t="str">
        <x:f>IF(ISNUMBER(G405),G405*F405,"")</x:f>
      </x:c>
      <x:c r="I405" t="str">
        <x:v>Đã giao</x:v>
      </x:c>
      <x:c r="J405" s="16" t="n">
        <x:v>46205</x:v>
      </x:c>
      <x:c r="K405" t="str"/>
    </x:row>
    <x:row r="406">
      <x:c r="A406" t="str">
        <x:v>FM20260700405</x:v>
      </x:c>
      <x:c r="B406" s="16" t="n">
        <x:v>46205</x:v>
      </x:c>
      <x:c r="C406" t="str">
        <x:v>FM-02-04</x:v>
      </x:c>
      <x:c r="D406" t="str">
        <x:v>Ngoại thành</x:v>
      </x:c>
      <x:c r="E406" t="str">
        <x:v>COD</x:v>
      </x:c>
      <x:c r="F406" t="n">
        <x:v>1.5</x:v>
      </x:c>
      <x:c r="G406" s="14" t="str">
        <x:f>IF(E406="","",IFERROR(VLOOKUP(E406,'02_Bang_gia'!$A$2:$D$13,4,FALSE),"KHÔNG TÌM THẤY"))</x:f>
        <x:v>KHÔNG TÌM THẤY</x:v>
      </x:c>
      <x:c r="H406" s="14" t="str">
        <x:f>IF(ISNUMBER(G406),G406*F406,"")</x:f>
      </x:c>
      <x:c r="I406" t="str">
        <x:v>Đã giao</x:v>
      </x:c>
      <x:c r="J406" s="16" t="n">
        <x:v>46206</x:v>
      </x:c>
      <x:c r="K406" t="str"/>
    </x:row>
    <x:row r="407">
      <x:c r="A407" t="str">
        <x:v>FM20260700406</x:v>
      </x:c>
      <x:c r="B407" s="16" t="n">
        <x:v>46206</x:v>
      </x:c>
      <x:c r="C407" t="str">
        <x:v>FM-02-01</x:v>
      </x:c>
      <x:c r="D407" t="str">
        <x:v>Ngoại thành</x:v>
      </x:c>
      <x:c r="E407" t="str">
        <x:v>Tiết kiệm</x:v>
      </x:c>
      <x:c r="F407" t="n">
        <x:v>3</x:v>
      </x:c>
      <x:c r="G407" s="14" t="str">
        <x:f>IF(E407="","",IFERROR(VLOOKUP(E407,'02_Bang_gia'!$A$2:$D$13,4,FALSE),"KHÔNG TÌM THẤY"))</x:f>
        <x:v>KHÔNG TÌM THẤY</x:v>
      </x:c>
      <x:c r="H407" s="14" t="str">
        <x:f>IF(ISNUMBER(G407),G407*F407,"")</x:f>
      </x:c>
      <x:c r="I407" t="str">
        <x:v>Đã giao</x:v>
      </x:c>
      <x:c r="J407" s="16" t="n">
        <x:v>46207</x:v>
      </x:c>
      <x:c r="K407" t="str"/>
    </x:row>
    <x:row r="408">
      <x:c r="A408" t="str">
        <x:v>FM20260700407</x:v>
      </x:c>
      <x:c r="B408" s="16" t="n">
        <x:v>46207</x:v>
      </x:c>
      <x:c r="C408" t="str">
        <x:v>FM-03-02</x:v>
      </x:c>
      <x:c r="D408" t="str">
        <x:v>Liên tỉnh</x:v>
      </x:c>
      <x:c r="E408" t="str">
        <x:v>Tiêu chuẩn</x:v>
      </x:c>
      <x:c r="F408" t="n">
        <x:v>3</x:v>
      </x:c>
      <x:c r="G408" s="14" t="str">
        <x:f>IF(E408="","",IFERROR(VLOOKUP(E408,'02_Bang_gia'!$A$2:$D$13,4,FALSE),"KHÔNG TÌM THẤY"))</x:f>
        <x:v>KHÔNG TÌM THẤY</x:v>
      </x:c>
      <x:c r="H408" s="14" t="str">
        <x:f>IF(ISNUMBER(G408),G408*F408,"")</x:f>
      </x:c>
      <x:c r="I408" t="str">
        <x:v>Đã giao</x:v>
      </x:c>
      <x:c r="J408" s="16" t="n">
        <x:v>46211</x:v>
      </x:c>
      <x:c r="K408" t="str"/>
    </x:row>
    <x:row r="409">
      <x:c r="A409" t="str">
        <x:v>FM20260700408</x:v>
      </x:c>
      <x:c r="B409" s="16" t="n">
        <x:v>46208</x:v>
      </x:c>
      <x:c r="C409" t="str">
        <x:v>FM-03-01</x:v>
      </x:c>
      <x:c r="D409" t="str">
        <x:v>Liên tỉnh</x:v>
      </x:c>
      <x:c r="E409" t="str">
        <x:v>Tiết kiệm</x:v>
      </x:c>
      <x:c r="F409" t="n">
        <x:v>5</x:v>
      </x:c>
      <x:c r="G409" s="14" t="str">
        <x:f>IF(E409="","",IFERROR(VLOOKUP(E409,'02_Bang_gia'!$A$2:$D$13,4,FALSE),"KHÔNG TÌM THẤY"))</x:f>
        <x:v>KHÔNG TÌM THẤY</x:v>
      </x:c>
      <x:c r="H409" s="14" t="str">
        <x:f>IF(ISNUMBER(G409),G409*F409,"")</x:f>
      </x:c>
      <x:c r="I409" t="str">
        <x:v>Giao thất bại</x:v>
      </x:c>
      <x:c r="J409" s="16"/>
      <x:c r="K409" t="str"/>
    </x:row>
    <x:row r="410">
      <x:c r="A410" t="str">
        <x:v>FM20260700409</x:v>
      </x:c>
      <x:c r="B410" s="16" t="n">
        <x:v>46209</x:v>
      </x:c>
      <x:c r="C410" t="str">
        <x:v>FM-01-01</x:v>
      </x:c>
      <x:c r="D410" t="str">
        <x:v>Nội thành</x:v>
      </x:c>
      <x:c r="E410" t="str">
        <x:v>Tiết kiệm</x:v>
      </x:c>
      <x:c r="F410" t="n">
        <x:v>1.5</x:v>
      </x:c>
      <x:c r="G410" s="14" t="str">
        <x:f>IF(E410="","",IFERROR(VLOOKUP(E410,'02_Bang_gia'!$A$2:$D$13,4,FALSE),"KHÔNG TÌM THẤY"))</x:f>
        <x:v>KHÔNG TÌM THẤY</x:v>
      </x:c>
      <x:c r="H410" s="14" t="str">
        <x:f>IF(ISNUMBER(G410),G410*F410,"")</x:f>
      </x:c>
      <x:c r="I410" t="str">
        <x:v>Đã giao</x:v>
      </x:c>
      <x:c r="J410" s="16" t="n">
        <x:v>46211</x:v>
      </x:c>
      <x:c r="K410" t="str"/>
    </x:row>
    <x:row r="411">
      <x:c r="A411" t="str">
        <x:v>FM20260700410</x:v>
      </x:c>
      <x:c r="B411" s="16" t="n">
        <x:v>46210</x:v>
      </x:c>
      <x:c r="C411" t="str">
        <x:v>FM-03-02</x:v>
      </x:c>
      <x:c r="D411" t="str">
        <x:v>Liên tỉnh</x:v>
      </x:c>
      <x:c r="E411" t="str">
        <x:v>Tiêu chuẩn</x:v>
      </x:c>
      <x:c r="F411" t="n">
        <x:v>0.5</x:v>
      </x:c>
      <x:c r="G411" s="14" t="str">
        <x:f>IF(E411="","",IFERROR(VLOOKUP(E411,'02_Bang_gia'!$A$2:$D$13,4,FALSE),"KHÔNG TÌM THẤY"))</x:f>
        <x:v>KHÔNG TÌM THẤY</x:v>
      </x:c>
      <x:c r="H411" s="14" t="str">
        <x:f>IF(ISNUMBER(G411),G411*F411,"")</x:f>
      </x:c>
      <x:c r="I411" t="str">
        <x:v>Đã giao</x:v>
      </x:c>
      <x:c r="J411" s="16" t="n">
        <x:v>46212</x:v>
      </x:c>
      <x:c r="K411" t="str"/>
    </x:row>
    <x:row r="412">
      <x:c r="A412" t="str">
        <x:v>FM20260700411</x:v>
      </x:c>
      <x:c r="B412" s="16" t="n">
        <x:v>46211</x:v>
      </x:c>
      <x:c r="C412" t="str">
        <x:v>FM-02-04</x:v>
      </x:c>
      <x:c r="D412" t="str">
        <x:v>Ngoại thành</x:v>
      </x:c>
      <x:c r="E412" t="str">
        <x:v>COD</x:v>
      </x:c>
      <x:c r="F412" t="n">
        <x:v>5</x:v>
      </x:c>
      <x:c r="G412" s="14" t="str">
        <x:f>IF(E412="","",IFERROR(VLOOKUP(E412,'02_Bang_gia'!$A$2:$D$13,4,FALSE),"KHÔNG TÌM THẤY"))</x:f>
        <x:v>KHÔNG TÌM THẤY</x:v>
      </x:c>
      <x:c r="H412" s="14" t="str">
        <x:f>IF(ISNUMBER(G412),G412*F412,"")</x:f>
      </x:c>
      <x:c r="I412" t="str">
        <x:v>Đã giao</x:v>
      </x:c>
      <x:c r="J412" s="16" t="n">
        <x:v>46214</x:v>
      </x:c>
      <x:c r="K412" t="str"/>
    </x:row>
    <x:row r="413">
      <x:c r="A413" t="str">
        <x:v>FM20260700412</x:v>
      </x:c>
      <x:c r="B413" s="16" t="n">
        <x:v>46212</x:v>
      </x:c>
      <x:c r="C413" t="str">
        <x:v>FM-01-02</x:v>
      </x:c>
      <x:c r="D413" t="str">
        <x:v>Nội thành</x:v>
      </x:c>
      <x:c r="E413" t="str">
        <x:v>Tiêu chuẩn</x:v>
      </x:c>
      <x:c r="F413" t="n">
        <x:v>0.5</x:v>
      </x:c>
      <x:c r="G413" s="14" t="str">
        <x:f>IF(E413="","",IFERROR(VLOOKUP(E413,'02_Bang_gia'!$A$2:$D$13,4,FALSE),"KHÔNG TÌM THẤY"))</x:f>
        <x:v>KHÔNG TÌM THẤY</x:v>
      </x:c>
      <x:c r="H413" s="14" t="str">
        <x:f>IF(ISNUMBER(G413),G413*F413,"")</x:f>
      </x:c>
      <x:c r="I413" t="str">
        <x:v>Đã giao</x:v>
      </x:c>
      <x:c r="J413" s="16" t="n">
        <x:v>46214</x:v>
      </x:c>
      <x:c r="K413" t="str"/>
    </x:row>
    <x:row r="414">
      <x:c r="A414" t="str">
        <x:v>FM20260700413</x:v>
      </x:c>
      <x:c r="B414" s="16" t="n">
        <x:v>46213</x:v>
      </x:c>
      <x:c r="C414" t="str">
        <x:v>FM-01-04</x:v>
      </x:c>
      <x:c r="D414" t="str">
        <x:v>Nội thành</x:v>
      </x:c>
      <x:c r="E414" t="str">
        <x:v>COD</x:v>
      </x:c>
      <x:c r="F414" t="n">
        <x:v>3</x:v>
      </x:c>
      <x:c r="G414" s="14" t="str">
        <x:f>IF(E414="","",IFERROR(VLOOKUP(E414,'02_Bang_gia'!$A$2:$D$13,4,FALSE),"KHÔNG TÌM THẤY"))</x:f>
        <x:v>KHÔNG TÌM THẤY</x:v>
      </x:c>
      <x:c r="H414" s="14" t="str">
        <x:f>IF(ISNUMBER(G414),G414*F414,"")</x:f>
      </x:c>
      <x:c r="I414" t="str">
        <x:v>Đã giao</x:v>
      </x:c>
      <x:c r="J414" s="16" t="n">
        <x:v>46217</x:v>
      </x:c>
      <x:c r="K414" t="str"/>
    </x:row>
    <x:row r="415">
      <x:c r="A415" t="str">
        <x:v>FM20260700414</x:v>
      </x:c>
      <x:c r="B415" s="16" t="n">
        <x:v>46214</x:v>
      </x:c>
      <x:c r="C415" t="str">
        <x:v>FM-03-01</x:v>
      </x:c>
      <x:c r="D415" t="str">
        <x:v>Liên tỉnh</x:v>
      </x:c>
      <x:c r="E415" t="str">
        <x:v>Tiết kiệm</x:v>
      </x:c>
      <x:c r="F415" t="n">
        <x:v>1.5</x:v>
      </x:c>
      <x:c r="G415" s="14" t="str">
        <x:f>IF(E415="","",IFERROR(VLOOKUP(E415,'02_Bang_gia'!$A$2:$D$13,4,FALSE),"KHÔNG TÌM THẤY"))</x:f>
        <x:v>KHÔNG TÌM THẤY</x:v>
      </x:c>
      <x:c r="H415" s="14" t="str">
        <x:f>IF(ISNUMBER(G415),G415*F415,"")</x:f>
      </x:c>
      <x:c r="I415" t="str">
        <x:v>Đã giao</x:v>
      </x:c>
      <x:c r="J415" s="16" t="n">
        <x:v>46217</x:v>
      </x:c>
      <x:c r="K415" t="str"/>
    </x:row>
    <x:row r="416">
      <x:c r="A416" t="str">
        <x:v>FM20260700415</x:v>
      </x:c>
      <x:c r="B416" s="16" t="n">
        <x:v>46215</x:v>
      </x:c>
      <x:c r="C416" t="str">
        <x:v>FM-02-01</x:v>
      </x:c>
      <x:c r="D416" t="str">
        <x:v>Ngoại thành</x:v>
      </x:c>
      <x:c r="E416" t="str">
        <x:v>Tiết kiệm</x:v>
      </x:c>
      <x:c r="F416" t="n">
        <x:v>5</x:v>
      </x:c>
      <x:c r="G416" s="14" t="str">
        <x:f>IF(E416="","",IFERROR(VLOOKUP(E416,'02_Bang_gia'!$A$2:$D$13,4,FALSE),"KHÔNG TÌM THẤY"))</x:f>
        <x:v>KHÔNG TÌM THẤY</x:v>
      </x:c>
      <x:c r="H416" s="14" t="str">
        <x:f>IF(ISNUMBER(G416),G416*F416,"")</x:f>
      </x:c>
      <x:c r="I416" t="str">
        <x:v>Đã giao</x:v>
      </x:c>
      <x:c r="J416" s="16" t="n">
        <x:v>46218</x:v>
      </x:c>
      <x:c r="K416" t="str"/>
    </x:row>
    <x:row r="417">
      <x:c r="A417" t="str">
        <x:v>FM20260700416</x:v>
      </x:c>
      <x:c r="B417" s="16" t="n">
        <x:v>46216</x:v>
      </x:c>
      <x:c r="C417" t="str">
        <x:v>FM-03-02</x:v>
      </x:c>
      <x:c r="D417" t="str">
        <x:v>Liên tỉnh</x:v>
      </x:c>
      <x:c r="E417" t="str">
        <x:v>Tiêu chuẩn</x:v>
      </x:c>
      <x:c r="F417" t="n">
        <x:v>0.5</x:v>
      </x:c>
      <x:c r="G417" s="14" t="str">
        <x:f>IF(E417="","",IFERROR(VLOOKUP(E417,'02_Bang_gia'!$A$2:$D$13,4,FALSE),"KHÔNG TÌM THẤY"))</x:f>
        <x:v>KHÔNG TÌM THẤY</x:v>
      </x:c>
      <x:c r="H417" s="14" t="str">
        <x:f>IF(ISNUMBER(G417),G417*F417,"")</x:f>
      </x:c>
      <x:c r="I417" t="str">
        <x:v>Đã giao</x:v>
      </x:c>
      <x:c r="J417" s="16" t="n">
        <x:v>46219</x:v>
      </x:c>
      <x:c r="K417" t="str"/>
    </x:row>
    <x:row r="418">
      <x:c r="A418" t="str">
        <x:v>FM20260700417</x:v>
      </x:c>
      <x:c r="B418" s="16" t="n">
        <x:v>46217</x:v>
      </x:c>
      <x:c r="C418" t="str">
        <x:v>FM-02-02</x:v>
      </x:c>
      <x:c r="D418" t="str">
        <x:v>Ngoại thành</x:v>
      </x:c>
      <x:c r="E418" t="str">
        <x:v>Tiêu chuẩn</x:v>
      </x:c>
      <x:c r="F418" t="n">
        <x:v>1.5</x:v>
      </x:c>
      <x:c r="G418" s="14" t="str">
        <x:f>IF(E418="","",IFERROR(VLOOKUP(E418,'02_Bang_gia'!$A$2:$D$13,4,FALSE),"KHÔNG TÌM THẤY"))</x:f>
        <x:v>KHÔNG TÌM THẤY</x:v>
      </x:c>
      <x:c r="H418" s="14" t="str">
        <x:f>IF(ISNUMBER(G418),G418*F418,"")</x:f>
      </x:c>
      <x:c r="I418" t="str">
        <x:v>Đã giao</x:v>
      </x:c>
      <x:c r="J418" s="16" t="n">
        <x:v>46221</x:v>
      </x:c>
      <x:c r="K418" t="str"/>
    </x:row>
    <x:row r="419">
      <x:c r="A419" t="str">
        <x:v>FM20260700418</x:v>
      </x:c>
      <x:c r="B419" s="16" t="n">
        <x:v>46218</x:v>
      </x:c>
      <x:c r="C419" t="str">
        <x:v>FM-02-01</x:v>
      </x:c>
      <x:c r="D419" t="str">
        <x:v>Ngoại thành</x:v>
      </x:c>
      <x:c r="E419" t="str">
        <x:v>Tiết kiệm</x:v>
      </x:c>
      <x:c r="F419" t="n">
        <x:v>1.5</x:v>
      </x:c>
      <x:c r="G419" s="14" t="str">
        <x:f>IF(E419="","",IFERROR(VLOOKUP(E419,'02_Bang_gia'!$A$2:$D$13,4,FALSE),"KHÔNG TÌM THẤY"))</x:f>
        <x:v>KHÔNG TÌM THẤY</x:v>
      </x:c>
      <x:c r="H419" s="14" t="str">
        <x:f>IF(ISNUMBER(G419),G419*F419,"")</x:f>
      </x:c>
      <x:c r="I419" t="str">
        <x:v>Đã giao</x:v>
      </x:c>
      <x:c r="J419" s="16" t="n">
        <x:v>46220</x:v>
      </x:c>
      <x:c r="K419" t="str"/>
    </x:row>
    <x:row r="420">
      <x:c r="A420" t="str">
        <x:v>FM20260700419</x:v>
      </x:c>
      <x:c r="B420" s="16" t="n">
        <x:v>46219</x:v>
      </x:c>
      <x:c r="C420" t="str">
        <x:v>FM-01-02</x:v>
      </x:c>
      <x:c r="D420" t="str">
        <x:v>Nội thành</x:v>
      </x:c>
      <x:c r="E420" t="str">
        <x:v>Tiêu chuẩn</x:v>
      </x:c>
      <x:c r="F420" t="n">
        <x:v>1.5</x:v>
      </x:c>
      <x:c r="G420" s="14" t="str">
        <x:f>IF(E420="","",IFERROR(VLOOKUP(E420,'02_Bang_gia'!$A$2:$D$13,4,FALSE),"KHÔNG TÌM THẤY"))</x:f>
        <x:v>KHÔNG TÌM THẤY</x:v>
      </x:c>
      <x:c r="H420" s="14" t="str">
        <x:f>IF(ISNUMBER(G420),G420*F420,"")</x:f>
      </x:c>
      <x:c r="I420" t="str">
        <x:v>Đã giao</x:v>
      </x:c>
      <x:c r="J420" s="16" t="n">
        <x:v>46221</x:v>
      </x:c>
      <x:c r="K420" t="str"/>
    </x:row>
    <x:row r="421">
      <x:c r="A421" t="str">
        <x:v>FM20260700420</x:v>
      </x:c>
      <x:c r="B421" s="16" t="n">
        <x:v>46220</x:v>
      </x:c>
      <x:c r="C421" t="str">
        <x:v>FM-02-01</x:v>
      </x:c>
      <x:c r="D421" t="str">
        <x:v>Ngoại thành</x:v>
      </x:c>
      <x:c r="E421" t="str">
        <x:v>Tiết kiệm</x:v>
      </x:c>
      <x:c r="F421" t="n">
        <x:v>5</x:v>
      </x:c>
      <x:c r="G421" s="14" t="str">
        <x:f>IF(E421="","",IFERROR(VLOOKUP(E421,'02_Bang_gia'!$A$2:$D$13,4,FALSE),"KHÔNG TÌM THẤY"))</x:f>
        <x:v>KHÔNG TÌM THẤY</x:v>
      </x:c>
      <x:c r="H421" s="14" t="str">
        <x:f>IF(ISNUMBER(G421),G421*F421,"")</x:f>
      </x:c>
      <x:c r="I421" t="str">
        <x:v>Giao thất bại</x:v>
      </x:c>
      <x:c r="J421" s="16"/>
      <x:c r="K421" t="str"/>
    </x:row>
    <x:row r="422">
      <x:c r="A422" t="str">
        <x:v>FM20260700421</x:v>
      </x:c>
      <x:c r="B422" s="16" t="n">
        <x:v>46221</x:v>
      </x:c>
      <x:c r="C422" t="str">
        <x:v>FM-03-03</x:v>
      </x:c>
      <x:c r="D422" t="str">
        <x:v>Liên tỉnh</x:v>
      </x:c>
      <x:c r="E422" t="str">
        <x:v>Hỏa tốc</x:v>
      </x:c>
      <x:c r="F422" t="n">
        <x:v>1.5</x:v>
      </x:c>
      <x:c r="G422" s="14" t="str">
        <x:f>IF(E422="","",IFERROR(VLOOKUP(E422,'02_Bang_gia'!$A$2:$D$13,4,FALSE),"KHÔNG TÌM THẤY"))</x:f>
        <x:v>KHÔNG TÌM THẤY</x:v>
      </x:c>
      <x:c r="H422" s="14" t="str">
        <x:f>IF(ISNUMBER(G422),G422*F422,"")</x:f>
      </x:c>
      <x:c r="I422" t="str">
        <x:v>Đã giao</x:v>
      </x:c>
      <x:c r="J422" s="16" t="n">
        <x:v>46222</x:v>
      </x:c>
      <x:c r="K422" t="str"/>
    </x:row>
    <x:row r="423">
      <x:c r="A423" t="str">
        <x:v>FM20260700422</x:v>
      </x:c>
      <x:c r="B423" s="16" t="n">
        <x:v>46222</x:v>
      </x:c>
      <x:c r="C423" t="str">
        <x:v>FM-03-01</x:v>
      </x:c>
      <x:c r="D423" t="str">
        <x:v>Liên tỉnh</x:v>
      </x:c>
      <x:c r="E423" t="str">
        <x:v>Tiết kiệm</x:v>
      </x:c>
      <x:c r="F423" t="n">
        <x:v>1</x:v>
      </x:c>
      <x:c r="G423" s="14" t="str">
        <x:f>IF(E423="","",IFERROR(VLOOKUP(E423,'02_Bang_gia'!$A$2:$D$13,4,FALSE),"KHÔNG TÌM THẤY"))</x:f>
        <x:v>KHÔNG TÌM THẤY</x:v>
      </x:c>
      <x:c r="H423" s="14" t="str">
        <x:f>IF(ISNUMBER(G423),G423*F423,"")</x:f>
      </x:c>
      <x:c r="I423" t="str">
        <x:v>Đã giao</x:v>
      </x:c>
      <x:c r="J423" s="16" t="n">
        <x:v>46225</x:v>
      </x:c>
      <x:c r="K423" t="str"/>
    </x:row>
    <x:row r="424">
      <x:c r="A424" t="str">
        <x:v>FM20260700423</x:v>
      </x:c>
      <x:c r="B424" s="16" t="n">
        <x:v>46223</x:v>
      </x:c>
      <x:c r="C424" t="str">
        <x:v>FM-03-03</x:v>
      </x:c>
      <x:c r="D424" t="str">
        <x:v>Liên tỉnh</x:v>
      </x:c>
      <x:c r="E424" t="str">
        <x:v>Hỏa tốc</x:v>
      </x:c>
      <x:c r="F424" t="n">
        <x:v>5</x:v>
      </x:c>
      <x:c r="G424" s="14" t="str">
        <x:f>IF(E424="","",IFERROR(VLOOKUP(E424,'02_Bang_gia'!$A$2:$D$13,4,FALSE),"KHÔNG TÌM THẤY"))</x:f>
        <x:v>KHÔNG TÌM THẤY</x:v>
      </x:c>
      <x:c r="H424" s="14" t="str">
        <x:f>IF(ISNUMBER(G424),G424*F424,"")</x:f>
      </x:c>
      <x:c r="I424" t="str">
        <x:v>Đã giao</x:v>
      </x:c>
      <x:c r="J424" s="16" t="n">
        <x:v>46224</x:v>
      </x:c>
      <x:c r="K424" t="str"/>
    </x:row>
    <x:row r="425">
      <x:c r="A425" t="str">
        <x:v>FM20260700424</x:v>
      </x:c>
      <x:c r="B425" s="16" t="n">
        <x:v>46224</x:v>
      </x:c>
      <x:c r="C425" t="str">
        <x:v>FM-03-03</x:v>
      </x:c>
      <x:c r="D425" t="str">
        <x:v>Liên tỉnh</x:v>
      </x:c>
      <x:c r="E425" t="str">
        <x:v>Hỏa tốc</x:v>
      </x:c>
      <x:c r="F425" t="n">
        <x:v>0.5</x:v>
      </x:c>
      <x:c r="G425" s="14" t="str">
        <x:f>IF(E425="","",IFERROR(VLOOKUP(E425,'02_Bang_gia'!$A$2:$D$13,4,FALSE),"KHÔNG TÌM THẤY"))</x:f>
        <x:v>KHÔNG TÌM THẤY</x:v>
      </x:c>
      <x:c r="H425" s="14" t="str">
        <x:f>IF(ISNUMBER(G425),G425*F425,"")</x:f>
      </x:c>
      <x:c r="I425" t="str">
        <x:v>Đã giao</x:v>
      </x:c>
      <x:c r="J425" s="16" t="n">
        <x:v>46227</x:v>
      </x:c>
      <x:c r="K425" t="str"/>
    </x:row>
    <x:row r="426">
      <x:c r="A426" t="str">
        <x:v>FM20260700425</x:v>
      </x:c>
      <x:c r="B426" s="16" t="n">
        <x:v>46225</x:v>
      </x:c>
      <x:c r="C426" t="str">
        <x:v>FM-02-02</x:v>
      </x:c>
      <x:c r="D426" t="str">
        <x:v>Ngoại thành</x:v>
      </x:c>
      <x:c r="E426" t="str">
        <x:v>Tiêu chuẩn</x:v>
      </x:c>
      <x:c r="F426" t="n">
        <x:v>1.5</x:v>
      </x:c>
      <x:c r="G426" s="14" t="str">
        <x:f>IF(E426="","",IFERROR(VLOOKUP(E426,'02_Bang_gia'!$A$2:$D$13,4,FALSE),"KHÔNG TÌM THẤY"))</x:f>
        <x:v>KHÔNG TÌM THẤY</x:v>
      </x:c>
      <x:c r="H426" s="14" t="str">
        <x:f>IF(ISNUMBER(G426),G426*F426,"")</x:f>
      </x:c>
      <x:c r="I426" t="str">
        <x:v>Đã giao</x:v>
      </x:c>
      <x:c r="J426" s="16" t="n">
        <x:v>46227</x:v>
      </x:c>
      <x:c r="K426" t="str"/>
    </x:row>
    <x:row r="427">
      <x:c r="A427" t="str">
        <x:v>FM20260700426</x:v>
      </x:c>
      <x:c r="B427" s="16" t="n">
        <x:v>46226</x:v>
      </x:c>
      <x:c r="C427" t="str">
        <x:v>FM-02-04</x:v>
      </x:c>
      <x:c r="D427" t="str">
        <x:v>Ngoại thành</x:v>
      </x:c>
      <x:c r="E427" t="str">
        <x:v>COD</x:v>
      </x:c>
      <x:c r="F427" t="n">
        <x:v>1</x:v>
      </x:c>
      <x:c r="G427" s="14" t="str">
        <x:f>IF(E427="","",IFERROR(VLOOKUP(E427,'02_Bang_gia'!$A$2:$D$13,4,FALSE),"KHÔNG TÌM THẤY"))</x:f>
        <x:v>KHÔNG TÌM THẤY</x:v>
      </x:c>
      <x:c r="H427" s="14" t="str">
        <x:f>IF(ISNUMBER(G427),G427*F427,"")</x:f>
      </x:c>
      <x:c r="I427" t="str">
        <x:v>Đã giao</x:v>
      </x:c>
      <x:c r="J427" s="16" t="n">
        <x:v>46228</x:v>
      </x:c>
      <x:c r="K427" t="str"/>
    </x:row>
    <x:row r="428">
      <x:c r="A428" t="str">
        <x:v>FM20260700427</x:v>
      </x:c>
      <x:c r="B428" s="16" t="n">
        <x:v>46227</x:v>
      </x:c>
      <x:c r="C428" t="str">
        <x:v>FM-01-02</x:v>
      </x:c>
      <x:c r="D428" t="str">
        <x:v>Nội thành</x:v>
      </x:c>
      <x:c r="E428" t="str">
        <x:v>Tiêu chuẩn</x:v>
      </x:c>
      <x:c r="F428" t="n">
        <x:v>3</x:v>
      </x:c>
      <x:c r="G428" s="14" t="str">
        <x:f>IF(E428="","",IFERROR(VLOOKUP(E428,'02_Bang_gia'!$A$2:$D$13,4,FALSE),"KHÔNG TÌM THẤY"))</x:f>
        <x:v>KHÔNG TÌM THẤY</x:v>
      </x:c>
      <x:c r="H428" s="14" t="str">
        <x:f>IF(ISNUMBER(G428),G428*F428,"")</x:f>
      </x:c>
      <x:c r="I428" t="str">
        <x:v>Đã giao</x:v>
      </x:c>
      <x:c r="J428" s="16" t="n">
        <x:v>46228</x:v>
      </x:c>
      <x:c r="K428" t="str"/>
    </x:row>
    <x:row r="429">
      <x:c r="A429" t="str">
        <x:v>FM20260700428</x:v>
      </x:c>
      <x:c r="B429" s="16" t="n">
        <x:v>46228</x:v>
      </x:c>
      <x:c r="C429" t="str">
        <x:v>FM-03-01</x:v>
      </x:c>
      <x:c r="D429" t="str">
        <x:v>Liên tỉnh</x:v>
      </x:c>
      <x:c r="E429" t="str">
        <x:v>Tiết kiệm</x:v>
      </x:c>
      <x:c r="F429" t="n">
        <x:v>3</x:v>
      </x:c>
      <x:c r="G429" s="14" t="str">
        <x:f>IF(E429="","",IFERROR(VLOOKUP(E429,'02_Bang_gia'!$A$2:$D$13,4,FALSE),"KHÔNG TÌM THẤY"))</x:f>
        <x:v>KHÔNG TÌM THẤY</x:v>
      </x:c>
      <x:c r="H429" s="14" t="str">
        <x:f>IF(ISNUMBER(G429),G429*F429,"")</x:f>
      </x:c>
      <x:c r="I429" t="str">
        <x:v>Đang giao</x:v>
      </x:c>
      <x:c r="J429" s="16"/>
      <x:c r="K429" t="str"/>
    </x:row>
    <x:row r="430">
      <x:c r="A430" t="str">
        <x:v>FM20260700429</x:v>
      </x:c>
      <x:c r="B430" s="16" t="n">
        <x:v>46229</x:v>
      </x:c>
      <x:c r="C430" t="str">
        <x:v>FM-01-01</x:v>
      </x:c>
      <x:c r="D430" t="str">
        <x:v>Nội thành</x:v>
      </x:c>
      <x:c r="E430" t="str">
        <x:v>Tiết kiệm</x:v>
      </x:c>
      <x:c r="F430" t="n">
        <x:v>3</x:v>
      </x:c>
      <x:c r="G430" s="14" t="str">
        <x:f>IF(E430="","",IFERROR(VLOOKUP(E430,'02_Bang_gia'!$A$2:$D$13,4,FALSE),"KHÔNG TÌM THẤY"))</x:f>
        <x:v>KHÔNG TÌM THẤY</x:v>
      </x:c>
      <x:c r="H430" s="14" t="str">
        <x:f>IF(ISNUMBER(G430),G430*F430,"")</x:f>
      </x:c>
      <x:c r="I430" t="str">
        <x:v>Đã giao</x:v>
      </x:c>
      <x:c r="J430" s="16" t="n">
        <x:v>46231</x:v>
      </x:c>
      <x:c r="K430" t="str"/>
    </x:row>
    <x:row r="431">
      <x:c r="A431" t="str">
        <x:v>FM20260700430</x:v>
      </x:c>
      <x:c r="B431" s="16" t="n">
        <x:v>46230</x:v>
      </x:c>
      <x:c r="C431" t="str">
        <x:v>FM-02-03</x:v>
      </x:c>
      <x:c r="D431" t="str">
        <x:v>Ngoại thành</x:v>
      </x:c>
      <x:c r="E431" t="str">
        <x:v>Hỏa tốc</x:v>
      </x:c>
      <x:c r="F431" t="n">
        <x:v>5</x:v>
      </x:c>
      <x:c r="G431" s="14" t="str">
        <x:f>IF(E431="","",IFERROR(VLOOKUP(E431,'02_Bang_gia'!$A$2:$D$13,4,FALSE),"KHÔNG TÌM THẤY"))</x:f>
        <x:v>KHÔNG TÌM THẤY</x:v>
      </x:c>
      <x:c r="H431" s="14" t="str">
        <x:f>IF(ISNUMBER(G431),G431*F431,"")</x:f>
      </x:c>
      <x:c r="I431" t="str">
        <x:v>Đã giao</x:v>
      </x:c>
      <x:c r="J431" s="16" t="n">
        <x:v>46232</x:v>
      </x:c>
      <x:c r="K431" t="str"/>
    </x:row>
    <x:row r="432">
      <x:c r="A432" t="str">
        <x:v>FM20260700431</x:v>
      </x:c>
      <x:c r="B432" s="16" t="n">
        <x:v>46231</x:v>
      </x:c>
      <x:c r="C432" t="str">
        <x:v>FM-03-02</x:v>
      </x:c>
      <x:c r="D432" t="str">
        <x:v>Liên tỉnh</x:v>
      </x:c>
      <x:c r="E432" t="str">
        <x:v>Tiêu chuẩn</x:v>
      </x:c>
      <x:c r="F432" t="n">
        <x:v>1</x:v>
      </x:c>
      <x:c r="G432" s="14" t="str">
        <x:f>IF(E432="","",IFERROR(VLOOKUP(E432,'02_Bang_gia'!$A$2:$D$13,4,FALSE),"KHÔNG TÌM THẤY"))</x:f>
        <x:v>KHÔNG TÌM THẤY</x:v>
      </x:c>
      <x:c r="H432" s="14" t="str">
        <x:f>IF(ISNUMBER(G432),G432*F432,"")</x:f>
      </x:c>
      <x:c r="I432" t="str">
        <x:v>Đang giao</x:v>
      </x:c>
      <x:c r="J432" s="16"/>
      <x:c r="K432" t="str"/>
    </x:row>
    <x:row r="433">
      <x:c r="A433" t="str">
        <x:v>FM20260700432</x:v>
      </x:c>
      <x:c r="B433" s="16" t="n">
        <x:v>46232</x:v>
      </x:c>
      <x:c r="C433" t="str">
        <x:v>FM-03-04</x:v>
      </x:c>
      <x:c r="D433" t="str">
        <x:v>Liên tỉnh</x:v>
      </x:c>
      <x:c r="E433" t="str">
        <x:v>COD</x:v>
      </x:c>
      <x:c r="F433" t="n">
        <x:v>1.5</x:v>
      </x:c>
      <x:c r="G433" s="14" t="str">
        <x:f>IF(E433="","",IFERROR(VLOOKUP(E433,'02_Bang_gia'!$A$2:$D$13,4,FALSE),"KHÔNG TÌM THẤY"))</x:f>
        <x:v>KHÔNG TÌM THẤY</x:v>
      </x:c>
      <x:c r="H433" s="14" t="str">
        <x:f>IF(ISNUMBER(G433),G433*F433,"")</x:f>
      </x:c>
      <x:c r="I433" t="str">
        <x:v>Đã giao</x:v>
      </x:c>
      <x:c r="J433" s="16" t="n">
        <x:v>46236</x:v>
      </x:c>
      <x:c r="K433" t="str"/>
    </x:row>
    <x:row r="434">
      <x:c r="A434" t="str">
        <x:v>FM20260700433</x:v>
      </x:c>
      <x:c r="B434" s="16" t="n">
        <x:v>46233</x:v>
      </x:c>
      <x:c r="C434" t="str">
        <x:v>FM-03-03</x:v>
      </x:c>
      <x:c r="D434" t="str">
        <x:v>Liên tỉnh</x:v>
      </x:c>
      <x:c r="E434" t="str">
        <x:v>Hỏa tốc</x:v>
      </x:c>
      <x:c r="F434" t="n">
        <x:v>3</x:v>
      </x:c>
      <x:c r="G434" s="14" t="str">
        <x:f>IF(E434="","",IFERROR(VLOOKUP(E434,'02_Bang_gia'!$A$2:$D$13,4,FALSE),"KHÔNG TÌM THẤY"))</x:f>
        <x:v>KHÔNG TÌM THẤY</x:v>
      </x:c>
      <x:c r="H434" s="14" t="str">
        <x:f>IF(ISNUMBER(G434),G434*F434,"")</x:f>
      </x:c>
      <x:c r="I434" t="str">
        <x:v>Đã giao</x:v>
      </x:c>
      <x:c r="J434" s="16" t="n">
        <x:v>46237</x:v>
      </x:c>
      <x:c r="K434" t="str"/>
    </x:row>
    <x:row r="435">
      <x:c r="A435" t="str">
        <x:v>FM20260700434</x:v>
      </x:c>
      <x:c r="B435" s="16" t="n">
        <x:v>46234</x:v>
      </x:c>
      <x:c r="C435" t="str">
        <x:v>FM-02-01</x:v>
      </x:c>
      <x:c r="D435" t="str">
        <x:v>Ngoại thành</x:v>
      </x:c>
      <x:c r="E435" t="str">
        <x:v>Tiết kiệm</x:v>
      </x:c>
      <x:c r="F435" t="n">
        <x:v>1</x:v>
      </x:c>
      <x:c r="G435" s="14" t="str">
        <x:f>IF(E435="","",IFERROR(VLOOKUP(E435,'02_Bang_gia'!$A$2:$D$13,4,FALSE),"KHÔNG TÌM THẤY"))</x:f>
        <x:v>KHÔNG TÌM THẤY</x:v>
      </x:c>
      <x:c r="H435" s="14" t="str">
        <x:f>IF(ISNUMBER(G435),G435*F435,"")</x:f>
      </x:c>
      <x:c r="I435" t="str">
        <x:v>Đã giao</x:v>
      </x:c>
      <x:c r="J435" s="16" t="n">
        <x:v>46238</x:v>
      </x:c>
      <x:c r="K435" t="str"/>
    </x:row>
    <x:row r="436">
      <x:c r="A436" t="str">
        <x:v>FM20260700435</x:v>
      </x:c>
      <x:c r="B436" s="16" t="n">
        <x:v>46204</x:v>
      </x:c>
      <x:c r="C436" t="str">
        <x:v>FM-03-01</x:v>
      </x:c>
      <x:c r="D436" t="str">
        <x:v>Liên tỉnh</x:v>
      </x:c>
      <x:c r="E436" t="str">
        <x:v>Tiết kiệm</x:v>
      </x:c>
      <x:c r="F436" t="n">
        <x:v>1</x:v>
      </x:c>
      <x:c r="G436" s="14" t="str">
        <x:f>IF(E436="","",IFERROR(VLOOKUP(E436,'02_Bang_gia'!$A$2:$D$13,4,FALSE),"KHÔNG TÌM THẤY"))</x:f>
        <x:v>KHÔNG TÌM THẤY</x:v>
      </x:c>
      <x:c r="H436" s="14" t="str">
        <x:f>IF(ISNUMBER(G436),G436*F436,"")</x:f>
      </x:c>
      <x:c r="I436" t="str">
        <x:v>Đã giao</x:v>
      </x:c>
      <x:c r="J436" s="16" t="n">
        <x:v>46208</x:v>
      </x:c>
      <x:c r="K436" t="str"/>
    </x:row>
    <x:row r="437">
      <x:c r="A437" t="str">
        <x:v>FM20260700436</x:v>
      </x:c>
      <x:c r="B437" s="16" t="n">
        <x:v>46205</x:v>
      </x:c>
      <x:c r="C437" t="str">
        <x:v>FM-02-02</x:v>
      </x:c>
      <x:c r="D437" t="str">
        <x:v>Ngoại thành</x:v>
      </x:c>
      <x:c r="E437" t="str">
        <x:v>Tiêu chuẩn</x:v>
      </x:c>
      <x:c r="F437" t="n">
        <x:v>2</x:v>
      </x:c>
      <x:c r="G437" s="14" t="str">
        <x:f>IF(E437="","",IFERROR(VLOOKUP(E437,'02_Bang_gia'!$A$2:$D$13,4,FALSE),"KHÔNG TÌM THẤY"))</x:f>
        <x:v>KHÔNG TÌM THẤY</x:v>
      </x:c>
      <x:c r="H437" s="14" t="str">
        <x:f>IF(ISNUMBER(G437),G437*F437,"")</x:f>
      </x:c>
      <x:c r="I437" t="str">
        <x:v>Đã giao</x:v>
      </x:c>
      <x:c r="J437" s="16" t="n">
        <x:v>46209</x:v>
      </x:c>
      <x:c r="K437" t="str"/>
    </x:row>
    <x:row r="438">
      <x:c r="A438" t="str">
        <x:v>FM20260700437</x:v>
      </x:c>
      <x:c r="B438" s="16" t="n">
        <x:v>46206</x:v>
      </x:c>
      <x:c r="C438" t="str">
        <x:v>FM-02-01</x:v>
      </x:c>
      <x:c r="D438" t="str">
        <x:v>Ngoại thành</x:v>
      </x:c>
      <x:c r="E438" t="str">
        <x:v>Tiết kiệm</x:v>
      </x:c>
      <x:c r="F438" t="n">
        <x:v>1</x:v>
      </x:c>
      <x:c r="G438" s="14" t="str">
        <x:f>IF(E438="","",IFERROR(VLOOKUP(E438,'02_Bang_gia'!$A$2:$D$13,4,FALSE),"KHÔNG TÌM THẤY"))</x:f>
        <x:v>KHÔNG TÌM THẤY</x:v>
      </x:c>
      <x:c r="H438" s="14" t="str">
        <x:f>IF(ISNUMBER(G438),G438*F438,"")</x:f>
      </x:c>
      <x:c r="I438" t="str">
        <x:v>Đã giao</x:v>
      </x:c>
      <x:c r="J438" s="16" t="n">
        <x:v>46210</x:v>
      </x:c>
      <x:c r="K438" t="str"/>
    </x:row>
    <x:row r="439">
      <x:c r="A439" t="str">
        <x:v>FM20260700438</x:v>
      </x:c>
      <x:c r="B439" s="16" t="n">
        <x:v>46207</x:v>
      </x:c>
      <x:c r="C439" t="str">
        <x:v>FM-01-04</x:v>
      </x:c>
      <x:c r="D439" t="str">
        <x:v>Nội thành</x:v>
      </x:c>
      <x:c r="E439" t="str">
        <x:v>COD</x:v>
      </x:c>
      <x:c r="F439" t="n">
        <x:v>1</x:v>
      </x:c>
      <x:c r="G439" s="14" t="str">
        <x:f>IF(E439="","",IFERROR(VLOOKUP(E439,'02_Bang_gia'!$A$2:$D$13,4,FALSE),"KHÔNG TÌM THẤY"))</x:f>
        <x:v>KHÔNG TÌM THẤY</x:v>
      </x:c>
      <x:c r="H439" s="14" t="str">
        <x:f>IF(ISNUMBER(G439),G439*F439,"")</x:f>
      </x:c>
      <x:c r="I439" t="str">
        <x:v>Đang giao</x:v>
      </x:c>
      <x:c r="J439" s="16"/>
      <x:c r="K439" t="str"/>
    </x:row>
    <x:row r="440">
      <x:c r="A440" t="str">
        <x:v>FM20260700439</x:v>
      </x:c>
      <x:c r="B440" s="16" t="n">
        <x:v>46208</x:v>
      </x:c>
      <x:c r="C440" t="str">
        <x:v>FM-02-01</x:v>
      </x:c>
      <x:c r="D440" t="str">
        <x:v>Ngoại thành</x:v>
      </x:c>
      <x:c r="E440" t="str">
        <x:v>Tiết kiệm</x:v>
      </x:c>
      <x:c r="F440" t="n">
        <x:v>1.5</x:v>
      </x:c>
      <x:c r="G440" s="14" t="str">
        <x:f>IF(E440="","",IFERROR(VLOOKUP(E440,'02_Bang_gia'!$A$2:$D$13,4,FALSE),"KHÔNG TÌM THẤY"))</x:f>
        <x:v>KHÔNG TÌM THẤY</x:v>
      </x:c>
      <x:c r="H440" s="14" t="str">
        <x:f>IF(ISNUMBER(G440),G440*F440,"")</x:f>
      </x:c>
      <x:c r="I440" t="str">
        <x:v>Đã giao</x:v>
      </x:c>
      <x:c r="J440" s="16" t="n">
        <x:v>46212</x:v>
      </x:c>
      <x:c r="K440" t="str"/>
    </x:row>
    <x:row r="441">
      <x:c r="A441" t="str">
        <x:v>FM20260700440</x:v>
      </x:c>
      <x:c r="B441" s="16" t="n">
        <x:v>46209</x:v>
      </x:c>
      <x:c r="C441" t="str">
        <x:v>FM-03-01</x:v>
      </x:c>
      <x:c r="D441" t="str">
        <x:v>Liên tỉnh</x:v>
      </x:c>
      <x:c r="E441" t="str">
        <x:v>Tiết kiệm</x:v>
      </x:c>
      <x:c r="F441" t="n">
        <x:v>5</x:v>
      </x:c>
      <x:c r="G441" s="14" t="str">
        <x:f>IF(E441="","",IFERROR(VLOOKUP(E441,'02_Bang_gia'!$A$2:$D$13,4,FALSE),"KHÔNG TÌM THẤY"))</x:f>
        <x:v>KHÔNG TÌM THẤY</x:v>
      </x:c>
      <x:c r="H441" s="14" t="str">
        <x:f>IF(ISNUMBER(G441),G441*F441,"")</x:f>
      </x:c>
      <x:c r="I441" t="str">
        <x:v>Giao thất bại</x:v>
      </x:c>
      <x:c r="J441" s="16"/>
      <x:c r="K441" t="str"/>
    </x:row>
    <x:row r="442">
      <x:c r="A442" t="str">
        <x:v>FM20260700441</x:v>
      </x:c>
      <x:c r="B442" s="16" t="n">
        <x:v>46210</x:v>
      </x:c>
      <x:c r="C442" t="str">
        <x:v>FM-03-01</x:v>
      </x:c>
      <x:c r="D442" t="str">
        <x:v>Liên tỉnh</x:v>
      </x:c>
      <x:c r="E442" t="str">
        <x:v>Tiết kiệm</x:v>
      </x:c>
      <x:c r="F442" t="n">
        <x:v>1.5</x:v>
      </x:c>
      <x:c r="G442" s="14" t="str">
        <x:f>IF(E442="","",IFERROR(VLOOKUP(E442,'02_Bang_gia'!$A$2:$D$13,4,FALSE),"KHÔNG TÌM THẤY"))</x:f>
        <x:v>KHÔNG TÌM THẤY</x:v>
      </x:c>
      <x:c r="H442" s="14" t="str">
        <x:f>IF(ISNUMBER(G442),G442*F442,"")</x:f>
      </x:c>
      <x:c r="I442" t="str">
        <x:v>Đang giao</x:v>
      </x:c>
      <x:c r="J442" s="16"/>
      <x:c r="K442" t="str"/>
    </x:row>
    <x:row r="443">
      <x:c r="A443" t="str">
        <x:v>FM20260700442</x:v>
      </x:c>
      <x:c r="B443" s="16" t="n">
        <x:v>46211</x:v>
      </x:c>
      <x:c r="C443" t="str">
        <x:v>FM-01-02</x:v>
      </x:c>
      <x:c r="D443" t="str">
        <x:v>Nội thành</x:v>
      </x:c>
      <x:c r="E443" t="str">
        <x:v>Tiêu chuẩn</x:v>
      </x:c>
      <x:c r="F443" t="n">
        <x:v>2</x:v>
      </x:c>
      <x:c r="G443" s="14" t="str">
        <x:f>IF(E443="","",IFERROR(VLOOKUP(E443,'02_Bang_gia'!$A$2:$D$13,4,FALSE),"KHÔNG TÌM THẤY"))</x:f>
        <x:v>KHÔNG TÌM THẤY</x:v>
      </x:c>
      <x:c r="H443" s="14" t="str">
        <x:f>IF(ISNUMBER(G443),G443*F443,"")</x:f>
      </x:c>
      <x:c r="I443" t="str">
        <x:v>Đã giao</x:v>
      </x:c>
      <x:c r="J443" s="16" t="n">
        <x:v>46214</x:v>
      </x:c>
      <x:c r="K443" t="str"/>
    </x:row>
    <x:row r="444">
      <x:c r="A444" t="str">
        <x:v>FM20260700443</x:v>
      </x:c>
      <x:c r="B444" s="16" t="n">
        <x:v>46212</x:v>
      </x:c>
      <x:c r="C444" t="str">
        <x:v>FM-03-01</x:v>
      </x:c>
      <x:c r="D444" t="str">
        <x:v>Liên tỉnh</x:v>
      </x:c>
      <x:c r="E444" t="str">
        <x:v>Tiết kiệm</x:v>
      </x:c>
      <x:c r="F444" t="n">
        <x:v>0.5</x:v>
      </x:c>
      <x:c r="G444" s="14" t="str">
        <x:f>IF(E444="","",IFERROR(VLOOKUP(E444,'02_Bang_gia'!$A$2:$D$13,4,FALSE),"KHÔNG TÌM THẤY"))</x:f>
        <x:v>KHÔNG TÌM THẤY</x:v>
      </x:c>
      <x:c r="H444" s="14" t="str">
        <x:f>IF(ISNUMBER(G444),G444*F444,"")</x:f>
      </x:c>
      <x:c r="I444" t="str">
        <x:v>Đã giao</x:v>
      </x:c>
      <x:c r="J444" s="16" t="n">
        <x:v>46216</x:v>
      </x:c>
      <x:c r="K444" t="str"/>
    </x:row>
    <x:row r="445">
      <x:c r="A445" t="str">
        <x:v>FM20260700444</x:v>
      </x:c>
      <x:c r="B445" s="16" t="n">
        <x:v>46213</x:v>
      </x:c>
      <x:c r="C445" t="str">
        <x:v>FM-01-04</x:v>
      </x:c>
      <x:c r="D445" t="str">
        <x:v>Nội thành</x:v>
      </x:c>
      <x:c r="E445" t="str">
        <x:v>COD</x:v>
      </x:c>
      <x:c r="F445" t="n">
        <x:v>1.5</x:v>
      </x:c>
      <x:c r="G445" s="14" t="str">
        <x:f>IF(E445="","",IFERROR(VLOOKUP(E445,'02_Bang_gia'!$A$2:$D$13,4,FALSE),"KHÔNG TÌM THẤY"))</x:f>
        <x:v>KHÔNG TÌM THẤY</x:v>
      </x:c>
      <x:c r="H445" s="14" t="str">
        <x:f>IF(ISNUMBER(G445),G445*F445,"")</x:f>
      </x:c>
      <x:c r="I445" t="str">
        <x:v>Đang giao</x:v>
      </x:c>
      <x:c r="J445" s="16"/>
      <x:c r="K445" t="str"/>
    </x:row>
    <x:row r="446">
      <x:c r="A446" t="str">
        <x:v>FM20260700445</x:v>
      </x:c>
      <x:c r="B446" s="16" t="n">
        <x:v>46214</x:v>
      </x:c>
      <x:c r="C446" t="str">
        <x:v>FM-01-01</x:v>
      </x:c>
      <x:c r="D446" t="str">
        <x:v>Nội thành</x:v>
      </x:c>
      <x:c r="E446" t="str">
        <x:v>Tiết kiệm</x:v>
      </x:c>
      <x:c r="F446" t="n">
        <x:v>3</x:v>
      </x:c>
      <x:c r="G446" s="14" t="str">
        <x:f>IF(E446="","",IFERROR(VLOOKUP(E446,'02_Bang_gia'!$A$2:$D$13,4,FALSE),"KHÔNG TÌM THẤY"))</x:f>
        <x:v>KHÔNG TÌM THẤY</x:v>
      </x:c>
      <x:c r="H446" s="14" t="str">
        <x:f>IF(ISNUMBER(G446),G446*F446,"")</x:f>
      </x:c>
      <x:c r="I446" t="str">
        <x:v>Đã giao</x:v>
      </x:c>
      <x:c r="J446" s="16" t="n">
        <x:v>46218</x:v>
      </x:c>
      <x:c r="K446" t="str"/>
    </x:row>
    <x:row r="447">
      <x:c r="A447" t="str">
        <x:v>FM20260700446</x:v>
      </x:c>
      <x:c r="B447" s="16" t="n">
        <x:v>46215</x:v>
      </x:c>
      <x:c r="C447" t="str">
        <x:v>FM-02-02</x:v>
      </x:c>
      <x:c r="D447" t="str">
        <x:v>Ngoại thành</x:v>
      </x:c>
      <x:c r="E447" t="str">
        <x:v>Tiêu chuẩn</x:v>
      </x:c>
      <x:c r="F447" t="n">
        <x:v>1.5</x:v>
      </x:c>
      <x:c r="G447" s="14" t="str">
        <x:f>IF(E447="","",IFERROR(VLOOKUP(E447,'02_Bang_gia'!$A$2:$D$13,4,FALSE),"KHÔNG TÌM THẤY"))</x:f>
        <x:v>KHÔNG TÌM THẤY</x:v>
      </x:c>
      <x:c r="H447" s="14" t="str">
        <x:f>IF(ISNUMBER(G447),G447*F447,"")</x:f>
      </x:c>
      <x:c r="I447" t="str">
        <x:v>Đã giao</x:v>
      </x:c>
      <x:c r="J447" s="16" t="n">
        <x:v>46216</x:v>
      </x:c>
      <x:c r="K447" t="str"/>
    </x:row>
    <x:row r="448">
      <x:c r="A448" t="str">
        <x:v>FM20260700447</x:v>
      </x:c>
      <x:c r="B448" s="16" t="n">
        <x:v>46216</x:v>
      </x:c>
      <x:c r="C448" t="str">
        <x:v>FM-01-04</x:v>
      </x:c>
      <x:c r="D448" t="str">
        <x:v>Nội thành</x:v>
      </x:c>
      <x:c r="E448" t="str">
        <x:v>COD</x:v>
      </x:c>
      <x:c r="F448" t="n">
        <x:v>5</x:v>
      </x:c>
      <x:c r="G448" s="14" t="str">
        <x:f>IF(E448="","",IFERROR(VLOOKUP(E448,'02_Bang_gia'!$A$2:$D$13,4,FALSE),"KHÔNG TÌM THẤY"))</x:f>
        <x:v>KHÔNG TÌM THẤY</x:v>
      </x:c>
      <x:c r="H448" s="14" t="str">
        <x:f>IF(ISNUMBER(G448),G448*F448,"")</x:f>
      </x:c>
      <x:c r="I448" t="str">
        <x:v>Đã giao</x:v>
      </x:c>
      <x:c r="J448" s="16" t="n">
        <x:v>46217</x:v>
      </x:c>
      <x:c r="K448" t="str"/>
    </x:row>
    <x:row r="449">
      <x:c r="A449" t="str">
        <x:v>FM20260700448</x:v>
      </x:c>
      <x:c r="B449" s="16" t="n">
        <x:v>46217</x:v>
      </x:c>
      <x:c r="C449" t="str">
        <x:v>FM-03-03</x:v>
      </x:c>
      <x:c r="D449" t="str">
        <x:v>Liên tỉnh</x:v>
      </x:c>
      <x:c r="E449" t="str">
        <x:v>Hỏa tốc</x:v>
      </x:c>
      <x:c r="F449" t="n">
        <x:v>1</x:v>
      </x:c>
      <x:c r="G449" s="14" t="str">
        <x:f>IF(E449="","",IFERROR(VLOOKUP(E449,'02_Bang_gia'!$A$2:$D$13,4,FALSE),"KHÔNG TÌM THẤY"))</x:f>
        <x:v>KHÔNG TÌM THẤY</x:v>
      </x:c>
      <x:c r="H449" s="14" t="str">
        <x:f>IF(ISNUMBER(G449),G449*F449,"")</x:f>
      </x:c>
      <x:c r="I449" t="str">
        <x:v>Đã giao</x:v>
      </x:c>
      <x:c r="J449" s="16" t="n">
        <x:v>46219</x:v>
      </x:c>
      <x:c r="K449" t="str"/>
    </x:row>
    <x:row r="450">
      <x:c r="A450" t="str">
        <x:v>FM20260700449</x:v>
      </x:c>
      <x:c r="B450" s="16" t="n">
        <x:v>46218</x:v>
      </x:c>
      <x:c r="C450" t="str">
        <x:v>FM-01-01</x:v>
      </x:c>
      <x:c r="D450" t="str">
        <x:v>Nội thành</x:v>
      </x:c>
      <x:c r="E450" t="str">
        <x:v>Tiết kiệm</x:v>
      </x:c>
      <x:c r="F450" t="n">
        <x:v>5</x:v>
      </x:c>
      <x:c r="G450" s="14" t="str">
        <x:f>IF(E450="","",IFERROR(VLOOKUP(E450,'02_Bang_gia'!$A$2:$D$13,4,FALSE),"KHÔNG TÌM THẤY"))</x:f>
        <x:v>KHÔNG TÌM THẤY</x:v>
      </x:c>
      <x:c r="H450" s="14" t="str">
        <x:f>IF(ISNUMBER(G450),G450*F450,"")</x:f>
      </x:c>
      <x:c r="I450" t="str">
        <x:v>Đã giao</x:v>
      </x:c>
      <x:c r="J450" s="16" t="n">
        <x:v>46222</x:v>
      </x:c>
      <x:c r="K450" t="str"/>
    </x:row>
    <x:row r="451">
      <x:c r="A451" t="str">
        <x:v>FM20260700450</x:v>
      </x:c>
      <x:c r="B451" s="16" t="n">
        <x:v>46219</x:v>
      </x:c>
      <x:c r="C451" t="str">
        <x:v>FM-01-03</x:v>
      </x:c>
      <x:c r="D451" t="str">
        <x:v>Nội thành</x:v>
      </x:c>
      <x:c r="E451" t="str">
        <x:v>Hỏa tốc</x:v>
      </x:c>
      <x:c r="F451" t="n">
        <x:v>2</x:v>
      </x:c>
      <x:c r="G451" s="14" t="str">
        <x:f>IF(E451="","",IFERROR(VLOOKUP(E451,'02_Bang_gia'!$A$2:$D$13,4,FALSE),"KHÔNG TÌM THẤY"))</x:f>
        <x:v>KHÔNG TÌM THẤY</x:v>
      </x:c>
      <x:c r="H451" s="14" t="str">
        <x:f>IF(ISNUMBER(G451),G451*F451,"")</x:f>
      </x:c>
      <x:c r="I451" t="str">
        <x:v>Đã giao</x:v>
      </x:c>
      <x:c r="J451" s="16" t="n">
        <x:v>46223</x:v>
      </x:c>
      <x:c r="K451" t="str"/>
    </x:row>
    <x:row r="452">
      <x:c r="A452" t="str">
        <x:v>FM20260700451</x:v>
      </x:c>
      <x:c r="B452" s="16" t="n">
        <x:v>46220</x:v>
      </x:c>
      <x:c r="C452" t="str">
        <x:v>FM-03-02</x:v>
      </x:c>
      <x:c r="D452" t="str">
        <x:v>Liên tỉnh</x:v>
      </x:c>
      <x:c r="E452" t="str">
        <x:v>Tiêu chuẩn</x:v>
      </x:c>
      <x:c r="F452" t="n">
        <x:v>0.5</x:v>
      </x:c>
      <x:c r="G452" s="14" t="str">
        <x:f>IF(E452="","",IFERROR(VLOOKUP(E452,'02_Bang_gia'!$A$2:$D$13,4,FALSE),"KHÔNG TÌM THẤY"))</x:f>
        <x:v>KHÔNG TÌM THẤY</x:v>
      </x:c>
      <x:c r="H452" s="14" t="str">
        <x:f>IF(ISNUMBER(G452),G452*F452,"")</x:f>
      </x:c>
      <x:c r="I452" t="str">
        <x:v>Đã giao</x:v>
      </x:c>
      <x:c r="J452" s="16" t="n">
        <x:v>46221</x:v>
      </x:c>
      <x:c r="K452" t="str"/>
    </x:row>
    <x:row r="453">
      <x:c r="A453" t="str">
        <x:v>FM20260700452</x:v>
      </x:c>
      <x:c r="B453" s="16" t="n">
        <x:v>46221</x:v>
      </x:c>
      <x:c r="C453" t="str">
        <x:v>FM-02-01</x:v>
      </x:c>
      <x:c r="D453" t="str">
        <x:v>Ngoại thành</x:v>
      </x:c>
      <x:c r="E453" t="str">
        <x:v>Tiết kiệm</x:v>
      </x:c>
      <x:c r="F453" t="n">
        <x:v>3</x:v>
      </x:c>
      <x:c r="G453" s="14" t="str">
        <x:f>IF(E453="","",IFERROR(VLOOKUP(E453,'02_Bang_gia'!$A$2:$D$13,4,FALSE),"KHÔNG TÌM THẤY"))</x:f>
        <x:v>KHÔNG TÌM THẤY</x:v>
      </x:c>
      <x:c r="H453" s="14" t="str">
        <x:f>IF(ISNUMBER(G453),G453*F453,"")</x:f>
      </x:c>
      <x:c r="I453" t="str">
        <x:v>Đã giao</x:v>
      </x:c>
      <x:c r="J453" s="16" t="n">
        <x:v>46223</x:v>
      </x:c>
      <x:c r="K453" t="str"/>
    </x:row>
    <x:row r="454">
      <x:c r="A454" t="str">
        <x:v>FM20260700453</x:v>
      </x:c>
      <x:c r="B454" s="16" t="n">
        <x:v>46222</x:v>
      </x:c>
      <x:c r="C454" t="str">
        <x:v>FM-03-04</x:v>
      </x:c>
      <x:c r="D454" t="str">
        <x:v>Liên tỉnh</x:v>
      </x:c>
      <x:c r="E454" t="str">
        <x:v>COD</x:v>
      </x:c>
      <x:c r="F454" t="n">
        <x:v>0.5</x:v>
      </x:c>
      <x:c r="G454" s="14" t="str">
        <x:f>IF(E454="","",IFERROR(VLOOKUP(E454,'02_Bang_gia'!$A$2:$D$13,4,FALSE),"KHÔNG TÌM THẤY"))</x:f>
        <x:v>KHÔNG TÌM THẤY</x:v>
      </x:c>
      <x:c r="H454" s="14" t="str">
        <x:f>IF(ISNUMBER(G454),G454*F454,"")</x:f>
      </x:c>
      <x:c r="I454" t="str">
        <x:v>Đã giao</x:v>
      </x:c>
      <x:c r="J454" s="16" t="n">
        <x:v>46226</x:v>
      </x:c>
      <x:c r="K454" t="str"/>
    </x:row>
    <x:row r="455">
      <x:c r="A455" t="str">
        <x:v>FM20260700454</x:v>
      </x:c>
      <x:c r="B455" s="16" t="n">
        <x:v>46223</x:v>
      </x:c>
      <x:c r="C455" t="str">
        <x:v>FM-02-01</x:v>
      </x:c>
      <x:c r="D455" t="str">
        <x:v>Ngoại thành</x:v>
      </x:c>
      <x:c r="E455" t="str">
        <x:v>Tiết kiệm</x:v>
      </x:c>
      <x:c r="F455" t="n">
        <x:v>0.5</x:v>
      </x:c>
      <x:c r="G455" s="14" t="str">
        <x:f>IF(E455="","",IFERROR(VLOOKUP(E455,'02_Bang_gia'!$A$2:$D$13,4,FALSE),"KHÔNG TÌM THẤY"))</x:f>
        <x:v>KHÔNG TÌM THẤY</x:v>
      </x:c>
      <x:c r="H455" s="14" t="str">
        <x:f>IF(ISNUMBER(G455),G455*F455,"")</x:f>
      </x:c>
      <x:c r="I455" t="str">
        <x:v>Đã giao</x:v>
      </x:c>
      <x:c r="J455" s="16" t="n">
        <x:v>46224</x:v>
      </x:c>
      <x:c r="K455" t="str"/>
    </x:row>
    <x:row r="456">
      <x:c r="A456" t="str">
        <x:v>FM20260700455</x:v>
      </x:c>
      <x:c r="B456" s="16" t="n">
        <x:v>46224</x:v>
      </x:c>
      <x:c r="C456" t="str">
        <x:v>FM-01-04</x:v>
      </x:c>
      <x:c r="D456" t="str">
        <x:v>Nội thành</x:v>
      </x:c>
      <x:c r="E456" t="str">
        <x:v>COD</x:v>
      </x:c>
      <x:c r="F456" t="n">
        <x:v>0.5</x:v>
      </x:c>
      <x:c r="G456" s="14" t="str">
        <x:f>IF(E456="","",IFERROR(VLOOKUP(E456,'02_Bang_gia'!$A$2:$D$13,4,FALSE),"KHÔNG TÌM THẤY"))</x:f>
        <x:v>KHÔNG TÌM THẤY</x:v>
      </x:c>
      <x:c r="H456" s="14" t="str">
        <x:f>IF(ISNUMBER(G456),G456*F456,"")</x:f>
      </x:c>
      <x:c r="I456" t="str">
        <x:v>Đã giao</x:v>
      </x:c>
      <x:c r="J456" s="16" t="n">
        <x:v>46228</x:v>
      </x:c>
      <x:c r="K456" t="str"/>
    </x:row>
    <x:row r="457">
      <x:c r="A457" t="str">
        <x:v>FM20260700456</x:v>
      </x:c>
      <x:c r="B457" s="16" t="n">
        <x:v>46225</x:v>
      </x:c>
      <x:c r="C457" t="str">
        <x:v>FM-01-02</x:v>
      </x:c>
      <x:c r="D457" t="str">
        <x:v>Nội thành</x:v>
      </x:c>
      <x:c r="E457" t="str">
        <x:v>Tiêu chuẩn</x:v>
      </x:c>
      <x:c r="F457" t="n">
        <x:v>2</x:v>
      </x:c>
      <x:c r="G457" s="14" t="str">
        <x:f>IF(E457="","",IFERROR(VLOOKUP(E457,'02_Bang_gia'!$A$2:$D$13,4,FALSE),"KHÔNG TÌM THẤY"))</x:f>
        <x:v>KHÔNG TÌM THẤY</x:v>
      </x:c>
      <x:c r="H457" s="14" t="str">
        <x:f>IF(ISNUMBER(G457),G457*F457,"")</x:f>
      </x:c>
      <x:c r="I457" t="str">
        <x:v>Đang giao</x:v>
      </x:c>
      <x:c r="J457" s="16"/>
      <x:c r="K457" t="str"/>
    </x:row>
    <x:row r="458">
      <x:c r="A458" t="str">
        <x:v>FM20260700457</x:v>
      </x:c>
      <x:c r="B458" s="16" t="n">
        <x:v>46226</x:v>
      </x:c>
      <x:c r="C458" t="str">
        <x:v>FM-03-02</x:v>
      </x:c>
      <x:c r="D458" t="str">
        <x:v>Liên tỉnh</x:v>
      </x:c>
      <x:c r="E458" t="str">
        <x:v>Tiêu chuẩn</x:v>
      </x:c>
      <x:c r="F458" t="n">
        <x:v>5</x:v>
      </x:c>
      <x:c r="G458" s="14" t="str">
        <x:f>IF(E458="","",IFERROR(VLOOKUP(E458,'02_Bang_gia'!$A$2:$D$13,4,FALSE),"KHÔNG TÌM THẤY"))</x:f>
        <x:v>KHÔNG TÌM THẤY</x:v>
      </x:c>
      <x:c r="H458" s="14" t="str">
        <x:f>IF(ISNUMBER(G458),G458*F458,"")</x:f>
      </x:c>
      <x:c r="I458" t="str">
        <x:v>Đã giao</x:v>
      </x:c>
      <x:c r="J458" s="16" t="n">
        <x:v>46228</x:v>
      </x:c>
      <x:c r="K458" t="str"/>
    </x:row>
    <x:row r="459">
      <x:c r="A459" t="str">
        <x:v>FM20260700458</x:v>
      </x:c>
      <x:c r="B459" s="16" t="n">
        <x:v>46227</x:v>
      </x:c>
      <x:c r="C459" t="str">
        <x:v>FM-01-03</x:v>
      </x:c>
      <x:c r="D459" t="str">
        <x:v>Nội thành</x:v>
      </x:c>
      <x:c r="E459" t="str">
        <x:v>Hỏa tốc</x:v>
      </x:c>
      <x:c r="F459" t="n">
        <x:v>3</x:v>
      </x:c>
      <x:c r="G459" s="14" t="str">
        <x:f>IF(E459="","",IFERROR(VLOOKUP(E459,'02_Bang_gia'!$A$2:$D$13,4,FALSE),"KHÔNG TÌM THẤY"))</x:f>
        <x:v>KHÔNG TÌM THẤY</x:v>
      </x:c>
      <x:c r="H459" s="14" t="str">
        <x:f>IF(ISNUMBER(G459),G459*F459,"")</x:f>
      </x:c>
      <x:c r="I459" t="str">
        <x:v>Đã giao</x:v>
      </x:c>
      <x:c r="J459" s="16" t="n">
        <x:v>46228</x:v>
      </x:c>
      <x:c r="K459" t="str"/>
    </x:row>
    <x:row r="460">
      <x:c r="A460" t="str">
        <x:v>FM20260700459</x:v>
      </x:c>
      <x:c r="B460" s="16" t="n">
        <x:v>46228</x:v>
      </x:c>
      <x:c r="C460" t="str">
        <x:v>FM-02-02</x:v>
      </x:c>
      <x:c r="D460" t="str">
        <x:v>Ngoại thành</x:v>
      </x:c>
      <x:c r="E460" t="str">
        <x:v>Tiêu chuẩn</x:v>
      </x:c>
      <x:c r="F460" t="n">
        <x:v>1</x:v>
      </x:c>
      <x:c r="G460" s="14" t="str">
        <x:f>IF(E460="","",IFERROR(VLOOKUP(E460,'02_Bang_gia'!$A$2:$D$13,4,FALSE),"KHÔNG TÌM THẤY"))</x:f>
        <x:v>KHÔNG TÌM THẤY</x:v>
      </x:c>
      <x:c r="H460" s="14" t="str">
        <x:f>IF(ISNUMBER(G460),G460*F460,"")</x:f>
      </x:c>
      <x:c r="I460" t="str">
        <x:v>Đã giao</x:v>
      </x:c>
      <x:c r="J460" s="16" t="n">
        <x:v>46232</x:v>
      </x:c>
      <x:c r="K460" t="str"/>
    </x:row>
    <x:row r="461">
      <x:c r="A461" t="str">
        <x:v>FM20260700460</x:v>
      </x:c>
      <x:c r="B461" s="16" t="n">
        <x:v>46229</x:v>
      </x:c>
      <x:c r="C461" t="str">
        <x:v>FM-03-03</x:v>
      </x:c>
      <x:c r="D461" t="str">
        <x:v>Liên tỉnh</x:v>
      </x:c>
      <x:c r="E461" t="str">
        <x:v>Hỏa tốc</x:v>
      </x:c>
      <x:c r="F461" t="n">
        <x:v>0.5</x:v>
      </x:c>
      <x:c r="G461" s="14" t="str">
        <x:f>IF(E461="","",IFERROR(VLOOKUP(E461,'02_Bang_gia'!$A$2:$D$13,4,FALSE),"KHÔNG TÌM THẤY"))</x:f>
        <x:v>KHÔNG TÌM THẤY</x:v>
      </x:c>
      <x:c r="H461" s="14" t="str">
        <x:f>IF(ISNUMBER(G461),G461*F461,"")</x:f>
      </x:c>
      <x:c r="I461" t="str">
        <x:v>Đã giao</x:v>
      </x:c>
      <x:c r="J461" s="16" t="n">
        <x:v>46232</x:v>
      </x:c>
      <x:c r="K461" t="str"/>
    </x:row>
    <x:row r="462">
      <x:c r="A462" t="str">
        <x:v>FM20260700461</x:v>
      </x:c>
      <x:c r="B462" s="16" t="n">
        <x:v>46230</x:v>
      </x:c>
      <x:c r="C462" t="str">
        <x:v>FM-03-01</x:v>
      </x:c>
      <x:c r="D462" t="str">
        <x:v>Liên tỉnh</x:v>
      </x:c>
      <x:c r="E462" t="str">
        <x:v>Tiết kiệm</x:v>
      </x:c>
      <x:c r="F462" t="n">
        <x:v>2</x:v>
      </x:c>
      <x:c r="G462" s="14" t="str">
        <x:f>IF(E462="","",IFERROR(VLOOKUP(E462,'02_Bang_gia'!$A$2:$D$13,4,FALSE),"KHÔNG TÌM THẤY"))</x:f>
        <x:v>KHÔNG TÌM THẤY</x:v>
      </x:c>
      <x:c r="H462" s="14" t="str">
        <x:f>IF(ISNUMBER(G462),G462*F462,"")</x:f>
      </x:c>
      <x:c r="I462" t="str">
        <x:v>Đã giao</x:v>
      </x:c>
      <x:c r="J462" s="16" t="n">
        <x:v>46231</x:v>
      </x:c>
      <x:c r="K462" t="str"/>
    </x:row>
    <x:row r="463">
      <x:c r="A463" t="str">
        <x:v>FM20260700462</x:v>
      </x:c>
      <x:c r="B463" s="16" t="n">
        <x:v>46231</x:v>
      </x:c>
      <x:c r="C463" t="str">
        <x:v>FM-02-04</x:v>
      </x:c>
      <x:c r="D463" t="str">
        <x:v>Ngoại thành</x:v>
      </x:c>
      <x:c r="E463" t="str">
        <x:v>COD</x:v>
      </x:c>
      <x:c r="F463" t="n">
        <x:v>1.5</x:v>
      </x:c>
      <x:c r="G463" s="14" t="str">
        <x:f>IF(E463="","",IFERROR(VLOOKUP(E463,'02_Bang_gia'!$A$2:$D$13,4,FALSE),"KHÔNG TÌM THẤY"))</x:f>
        <x:v>KHÔNG TÌM THẤY</x:v>
      </x:c>
      <x:c r="H463" s="14" t="str">
        <x:f>IF(ISNUMBER(G463),G463*F463,"")</x:f>
      </x:c>
      <x:c r="I463" t="str">
        <x:v>Đã giao</x:v>
      </x:c>
      <x:c r="J463" s="16" t="n">
        <x:v>46235</x:v>
      </x:c>
      <x:c r="K463" t="str"/>
    </x:row>
    <x:row r="464">
      <x:c r="A464" t="str">
        <x:v>FM20260700463</x:v>
      </x:c>
      <x:c r="B464" s="16" t="n">
        <x:v>46232</x:v>
      </x:c>
      <x:c r="C464" t="str">
        <x:v>FM-02-01</x:v>
      </x:c>
      <x:c r="D464" t="str">
        <x:v>Ngoại thành</x:v>
      </x:c>
      <x:c r="E464" t="str">
        <x:v>Tiết kiệm</x:v>
      </x:c>
      <x:c r="F464" t="n">
        <x:v>0.5</x:v>
      </x:c>
      <x:c r="G464" s="14" t="str">
        <x:f>IF(E464="","",IFERROR(VLOOKUP(E464,'02_Bang_gia'!$A$2:$D$13,4,FALSE),"KHÔNG TÌM THẤY"))</x:f>
        <x:v>KHÔNG TÌM THẤY</x:v>
      </x:c>
      <x:c r="H464" s="14" t="str">
        <x:f>IF(ISNUMBER(G464),G464*F464,"")</x:f>
      </x:c>
      <x:c r="I464" t="str">
        <x:v>Đã giao</x:v>
      </x:c>
      <x:c r="J464" s="16" t="n">
        <x:v>46235</x:v>
      </x:c>
      <x:c r="K464" t="str"/>
    </x:row>
    <x:row r="465">
      <x:c r="A465" t="str">
        <x:v>FM20260700464</x:v>
      </x:c>
      <x:c r="B465" s="16" t="n">
        <x:v>46233</x:v>
      </x:c>
      <x:c r="C465" t="str">
        <x:v>FM-02-02</x:v>
      </x:c>
      <x:c r="D465" t="str">
        <x:v>Ngoại thành</x:v>
      </x:c>
      <x:c r="E465" t="str">
        <x:v>Tiêu chuẩn</x:v>
      </x:c>
      <x:c r="F465" t="n">
        <x:v>3</x:v>
      </x:c>
      <x:c r="G465" s="14" t="str">
        <x:f>IF(E465="","",IFERROR(VLOOKUP(E465,'02_Bang_gia'!$A$2:$D$13,4,FALSE),"KHÔNG TÌM THẤY"))</x:f>
        <x:v>KHÔNG TÌM THẤY</x:v>
      </x:c>
      <x:c r="H465" s="14" t="str">
        <x:f>IF(ISNUMBER(G465),G465*F465,"")</x:f>
      </x:c>
      <x:c r="I465" t="str">
        <x:v>Đã giao</x:v>
      </x:c>
      <x:c r="J465" s="16" t="n">
        <x:v>46234</x:v>
      </x:c>
      <x:c r="K465" t="str"/>
    </x:row>
    <x:row r="466">
      <x:c r="A466" t="str">
        <x:v>FM20260700465</x:v>
      </x:c>
      <x:c r="B466" s="16" t="n">
        <x:v>46234</x:v>
      </x:c>
      <x:c r="C466" t="str">
        <x:v>FM-03-04</x:v>
      </x:c>
      <x:c r="D466" t="str">
        <x:v>Liên tỉnh</x:v>
      </x:c>
      <x:c r="E466" t="str">
        <x:v>COD</x:v>
      </x:c>
      <x:c r="F466" t="n">
        <x:v>0.5</x:v>
      </x:c>
      <x:c r="G466" s="14" t="str">
        <x:f>IF(E466="","",IFERROR(VLOOKUP(E466,'02_Bang_gia'!$A$2:$D$13,4,FALSE),"KHÔNG TÌM THẤY"))</x:f>
        <x:v>KHÔNG TÌM THẤY</x:v>
      </x:c>
      <x:c r="H466" s="14" t="str">
        <x:f>IF(ISNUMBER(G466),G466*F466,"")</x:f>
      </x:c>
      <x:c r="I466" t="str">
        <x:v>Đã giao</x:v>
      </x:c>
      <x:c r="J466" s="16" t="n">
        <x:v>46236</x:v>
      </x:c>
      <x:c r="K466" t="str"/>
    </x:row>
    <x:row r="467">
      <x:c r="A467" t="str">
        <x:v>FM20260700466</x:v>
      </x:c>
      <x:c r="B467" s="16" t="n">
        <x:v>46204</x:v>
      </x:c>
      <x:c r="C467" t="str">
        <x:v>FM-02-02</x:v>
      </x:c>
      <x:c r="D467" t="str">
        <x:v>Ngoại thành</x:v>
      </x:c>
      <x:c r="E467" t="str">
        <x:v>Tiêu chuẩn</x:v>
      </x:c>
      <x:c r="F467" t="n">
        <x:v>5</x:v>
      </x:c>
      <x:c r="G467" s="14" t="str">
        <x:f>IF(E467="","",IFERROR(VLOOKUP(E467,'02_Bang_gia'!$A$2:$D$13,4,FALSE),"KHÔNG TÌM THẤY"))</x:f>
        <x:v>KHÔNG TÌM THẤY</x:v>
      </x:c>
      <x:c r="H467" s="14" t="str">
        <x:f>IF(ISNUMBER(G467),G467*F467,"")</x:f>
      </x:c>
      <x:c r="I467" t="str">
        <x:v>Đã giao</x:v>
      </x:c>
      <x:c r="J467" s="16" t="n">
        <x:v>46206</x:v>
      </x:c>
      <x:c r="K467" t="str"/>
    </x:row>
    <x:row r="468">
      <x:c r="A468" t="str">
        <x:v>FM20260700467</x:v>
      </x:c>
      <x:c r="B468" s="16" t="n">
        <x:v>46205</x:v>
      </x:c>
      <x:c r="C468" t="str">
        <x:v>FM-02-04</x:v>
      </x:c>
      <x:c r="D468" t="str">
        <x:v>Ngoại thành</x:v>
      </x:c>
      <x:c r="E468" t="str">
        <x:v>COD</x:v>
      </x:c>
      <x:c r="F468" t="n">
        <x:v>2</x:v>
      </x:c>
      <x:c r="G468" s="14" t="str">
        <x:f>IF(E468="","",IFERROR(VLOOKUP(E468,'02_Bang_gia'!$A$2:$D$13,4,FALSE),"KHÔNG TÌM THẤY"))</x:f>
        <x:v>KHÔNG TÌM THẤY</x:v>
      </x:c>
      <x:c r="H468" s="14" t="str">
        <x:f>IF(ISNUMBER(G468),G468*F468,"")</x:f>
      </x:c>
      <x:c r="I468" t="str">
        <x:v>Giao thất bại</x:v>
      </x:c>
      <x:c r="J468" s="16"/>
      <x:c r="K468" t="str"/>
    </x:row>
    <x:row r="469">
      <x:c r="A469" t="str">
        <x:v>FM20260700468</x:v>
      </x:c>
      <x:c r="B469" s="16" t="n">
        <x:v>46206</x:v>
      </x:c>
      <x:c r="C469" t="str">
        <x:v>FM-03-03</x:v>
      </x:c>
      <x:c r="D469" t="str">
        <x:v>Liên tỉnh</x:v>
      </x:c>
      <x:c r="E469" t="str">
        <x:v>Hỏa tốc</x:v>
      </x:c>
      <x:c r="F469" t="n">
        <x:v>0.5</x:v>
      </x:c>
      <x:c r="G469" s="14" t="str">
        <x:f>IF(E469="","",IFERROR(VLOOKUP(E469,'02_Bang_gia'!$A$2:$D$13,4,FALSE),"KHÔNG TÌM THẤY"))</x:f>
        <x:v>KHÔNG TÌM THẤY</x:v>
      </x:c>
      <x:c r="H469" s="14" t="str">
        <x:f>IF(ISNUMBER(G469),G469*F469,"")</x:f>
      </x:c>
      <x:c r="I469" t="str">
        <x:v>Đã giao</x:v>
      </x:c>
      <x:c r="J469" s="16" t="n">
        <x:v>46208</x:v>
      </x:c>
      <x:c r="K469" t="str"/>
    </x:row>
    <x:row r="470">
      <x:c r="A470" t="str">
        <x:v>FM20260700469</x:v>
      </x:c>
      <x:c r="B470" s="16" t="n">
        <x:v>46207</x:v>
      </x:c>
      <x:c r="C470" t="str">
        <x:v>FM-03-04</x:v>
      </x:c>
      <x:c r="D470" t="str">
        <x:v>Liên tỉnh</x:v>
      </x:c>
      <x:c r="E470" t="str">
        <x:v>COD</x:v>
      </x:c>
      <x:c r="F470" t="n">
        <x:v>0.5</x:v>
      </x:c>
      <x:c r="G470" s="14" t="str">
        <x:f>IF(E470="","",IFERROR(VLOOKUP(E470,'02_Bang_gia'!$A$2:$D$13,4,FALSE),"KHÔNG TÌM THẤY"))</x:f>
        <x:v>KHÔNG TÌM THẤY</x:v>
      </x:c>
      <x:c r="H470" s="14" t="str">
        <x:f>IF(ISNUMBER(G470),G470*F470,"")</x:f>
      </x:c>
      <x:c r="I470" t="str">
        <x:v>Đã giao</x:v>
      </x:c>
      <x:c r="J470" s="16" t="n">
        <x:v>46211</x:v>
      </x:c>
      <x:c r="K470" t="str"/>
    </x:row>
    <x:row r="471">
      <x:c r="A471" t="str">
        <x:v>FM20260700470</x:v>
      </x:c>
      <x:c r="B471" s="16" t="n">
        <x:v>46208</x:v>
      </x:c>
      <x:c r="C471" t="str">
        <x:v>FM-02-01</x:v>
      </x:c>
      <x:c r="D471" t="str">
        <x:v>Ngoại thành</x:v>
      </x:c>
      <x:c r="E471" t="str">
        <x:v>Tiết kiệm</x:v>
      </x:c>
      <x:c r="F471" t="n">
        <x:v>0.5</x:v>
      </x:c>
      <x:c r="G471" s="14" t="str">
        <x:f>IF(E471="","",IFERROR(VLOOKUP(E471,'02_Bang_gia'!$A$2:$D$13,4,FALSE),"KHÔNG TÌM THẤY"))</x:f>
        <x:v>KHÔNG TÌM THẤY</x:v>
      </x:c>
      <x:c r="H471" s="14" t="str">
        <x:f>IF(ISNUMBER(G471),G471*F471,"")</x:f>
      </x:c>
      <x:c r="I471" t="str">
        <x:v>Đã giao</x:v>
      </x:c>
      <x:c r="J471" s="16" t="n">
        <x:v>46210</x:v>
      </x:c>
      <x:c r="K471" t="str"/>
    </x:row>
    <x:row r="472">
      <x:c r="A472" t="str">
        <x:v>FM20260700471</x:v>
      </x:c>
      <x:c r="B472" s="16" t="n">
        <x:v>46209</x:v>
      </x:c>
      <x:c r="C472" t="str">
        <x:v>FM-02-02</x:v>
      </x:c>
      <x:c r="D472" t="str">
        <x:v>Ngoại thành</x:v>
      </x:c>
      <x:c r="E472" t="str">
        <x:v>Tiêu chuẩn</x:v>
      </x:c>
      <x:c r="F472" t="n">
        <x:v>3</x:v>
      </x:c>
      <x:c r="G472" s="14" t="str">
        <x:f>IF(E472="","",IFERROR(VLOOKUP(E472,'02_Bang_gia'!$A$2:$D$13,4,FALSE),"KHÔNG TÌM THẤY"))</x:f>
        <x:v>KHÔNG TÌM THẤY</x:v>
      </x:c>
      <x:c r="H472" s="14" t="str">
        <x:f>IF(ISNUMBER(G472),G472*F472,"")</x:f>
      </x:c>
      <x:c r="I472" t="str">
        <x:v>Giao thất bại</x:v>
      </x:c>
      <x:c r="J472" s="16"/>
      <x:c r="K472" t="str"/>
    </x:row>
    <x:row r="473">
      <x:c r="A473" t="str">
        <x:v>FM20260700472</x:v>
      </x:c>
      <x:c r="B473" s="16" t="n">
        <x:v>46210</x:v>
      </x:c>
      <x:c r="C473" t="str">
        <x:v>FM-02-03</x:v>
      </x:c>
      <x:c r="D473" t="str">
        <x:v>Ngoại thành</x:v>
      </x:c>
      <x:c r="E473" t="str">
        <x:v>Hỏa tốc</x:v>
      </x:c>
      <x:c r="F473" t="n">
        <x:v>3</x:v>
      </x:c>
      <x:c r="G473" s="14" t="str">
        <x:f>IF(E473="","",IFERROR(VLOOKUP(E473,'02_Bang_gia'!$A$2:$D$13,4,FALSE),"KHÔNG TÌM THẤY"))</x:f>
        <x:v>KHÔNG TÌM THẤY</x:v>
      </x:c>
      <x:c r="H473" s="14" t="str">
        <x:f>IF(ISNUMBER(G473),G473*F473,"")</x:f>
      </x:c>
      <x:c r="I473" t="str">
        <x:v>Giao thất bại</x:v>
      </x:c>
      <x:c r="J473" s="16"/>
      <x:c r="K473" t="str"/>
    </x:row>
    <x:row r="474">
      <x:c r="A474" t="str">
        <x:v>FM20260700473</x:v>
      </x:c>
      <x:c r="B474" s="16" t="n">
        <x:v>46211</x:v>
      </x:c>
      <x:c r="C474" t="str">
        <x:v>FM-02-04</x:v>
      </x:c>
      <x:c r="D474" t="str">
        <x:v>Ngoại thành</x:v>
      </x:c>
      <x:c r="E474" t="str">
        <x:v>COD</x:v>
      </x:c>
      <x:c r="F474" t="n">
        <x:v>1.5</x:v>
      </x:c>
      <x:c r="G474" s="14" t="str">
        <x:f>IF(E474="","",IFERROR(VLOOKUP(E474,'02_Bang_gia'!$A$2:$D$13,4,FALSE),"KHÔNG TÌM THẤY"))</x:f>
        <x:v>KHÔNG TÌM THẤY</x:v>
      </x:c>
      <x:c r="H474" s="14" t="str">
        <x:f>IF(ISNUMBER(G474),G474*F474,"")</x:f>
      </x:c>
      <x:c r="I474" t="str">
        <x:v>Đã giao</x:v>
      </x:c>
      <x:c r="J474" s="16" t="n">
        <x:v>46213</x:v>
      </x:c>
      <x:c r="K474" t="str"/>
    </x:row>
    <x:row r="475">
      <x:c r="A475" t="str">
        <x:v>FM20260700474</x:v>
      </x:c>
      <x:c r="B475" s="16" t="n">
        <x:v>46212</x:v>
      </x:c>
      <x:c r="C475" t="str">
        <x:v>FM-02-02</x:v>
      </x:c>
      <x:c r="D475" t="str">
        <x:v>Ngoại thành</x:v>
      </x:c>
      <x:c r="E475" t="str">
        <x:v>Tiêu chuẩn</x:v>
      </x:c>
      <x:c r="F475" t="n">
        <x:v>0.5</x:v>
      </x:c>
      <x:c r="G475" s="14" t="str">
        <x:f>IF(E475="","",IFERROR(VLOOKUP(E475,'02_Bang_gia'!$A$2:$D$13,4,FALSE),"KHÔNG TÌM THẤY"))</x:f>
        <x:v>KHÔNG TÌM THẤY</x:v>
      </x:c>
      <x:c r="H475" s="14" t="str">
        <x:f>IF(ISNUMBER(G475),G475*F475,"")</x:f>
      </x:c>
      <x:c r="I475" t="str">
        <x:v>Đang giao</x:v>
      </x:c>
      <x:c r="J475" s="16"/>
      <x:c r="K475" t="str"/>
    </x:row>
    <x:row r="476">
      <x:c r="A476" t="str">
        <x:v>FM20260700475</x:v>
      </x:c>
      <x:c r="B476" s="16" t="n">
        <x:v>46213</x:v>
      </x:c>
      <x:c r="C476" t="str">
        <x:v>FM-03-03</x:v>
      </x:c>
      <x:c r="D476" t="str">
        <x:v>Liên tỉnh</x:v>
      </x:c>
      <x:c r="E476" t="str">
        <x:v>Hỏa tốc</x:v>
      </x:c>
      <x:c r="F476" t="n">
        <x:v>1.5</x:v>
      </x:c>
      <x:c r="G476" s="14" t="str">
        <x:f>IF(E476="","",IFERROR(VLOOKUP(E476,'02_Bang_gia'!$A$2:$D$13,4,FALSE),"KHÔNG TÌM THẤY"))</x:f>
        <x:v>KHÔNG TÌM THẤY</x:v>
      </x:c>
      <x:c r="H476" s="14" t="str">
        <x:f>IF(ISNUMBER(G476),G476*F476,"")</x:f>
      </x:c>
      <x:c r="I476" t="str">
        <x:v>Đã giao</x:v>
      </x:c>
      <x:c r="J476" s="16" t="n">
        <x:v>46214</x:v>
      </x:c>
      <x:c r="K476" t="str"/>
    </x:row>
    <x:row r="477">
      <x:c r="A477" t="str">
        <x:v>FM20260700476</x:v>
      </x:c>
      <x:c r="B477" s="16" t="n">
        <x:v>46214</x:v>
      </x:c>
      <x:c r="C477" t="str">
        <x:v>FM-02-03</x:v>
      </x:c>
      <x:c r="D477" t="str">
        <x:v>Ngoại thành</x:v>
      </x:c>
      <x:c r="E477" t="str">
        <x:v>Hỏa tốc</x:v>
      </x:c>
      <x:c r="F477" t="n">
        <x:v>5</x:v>
      </x:c>
      <x:c r="G477" s="14" t="str">
        <x:f>IF(E477="","",IFERROR(VLOOKUP(E477,'02_Bang_gia'!$A$2:$D$13,4,FALSE),"KHÔNG TÌM THẤY"))</x:f>
        <x:v>KHÔNG TÌM THẤY</x:v>
      </x:c>
      <x:c r="H477" s="14" t="str">
        <x:f>IF(ISNUMBER(G477),G477*F477,"")</x:f>
      </x:c>
      <x:c r="I477" t="str">
        <x:v>Đang giao</x:v>
      </x:c>
      <x:c r="J477" s="16"/>
      <x:c r="K477" t="str"/>
    </x:row>
    <x:row r="478">
      <x:c r="A478" t="str">
        <x:v>FM20260700477</x:v>
      </x:c>
      <x:c r="B478" s="16" t="n">
        <x:v>46215</x:v>
      </x:c>
      <x:c r="C478" t="str">
        <x:v>FM-02-04</x:v>
      </x:c>
      <x:c r="D478" t="str">
        <x:v>Ngoại thành</x:v>
      </x:c>
      <x:c r="E478" t="str">
        <x:v>COD</x:v>
      </x:c>
      <x:c r="F478" t="n">
        <x:v>2</x:v>
      </x:c>
      <x:c r="G478" s="14" t="str">
        <x:f>IF(E478="","",IFERROR(VLOOKUP(E478,'02_Bang_gia'!$A$2:$D$13,4,FALSE),"KHÔNG TÌM THẤY"))</x:f>
        <x:v>KHÔNG TÌM THẤY</x:v>
      </x:c>
      <x:c r="H478" s="14" t="str">
        <x:f>IF(ISNUMBER(G478),G478*F478,"")</x:f>
      </x:c>
      <x:c r="I478" t="str">
        <x:v>Đang giao</x:v>
      </x:c>
      <x:c r="J478" s="16"/>
      <x:c r="K478" t="str"/>
    </x:row>
    <x:row r="479">
      <x:c r="A479" t="str">
        <x:v>FM20260700478</x:v>
      </x:c>
      <x:c r="B479" s="16" t="n">
        <x:v>46216</x:v>
      </x:c>
      <x:c r="C479" t="str">
        <x:v>FM-02-02</x:v>
      </x:c>
      <x:c r="D479" t="str">
        <x:v>Ngoại thành</x:v>
      </x:c>
      <x:c r="E479" t="str">
        <x:v>Tiêu chuẩn</x:v>
      </x:c>
      <x:c r="F479" t="n">
        <x:v>2</x:v>
      </x:c>
      <x:c r="G479" s="14" t="str">
        <x:f>IF(E479="","",IFERROR(VLOOKUP(E479,'02_Bang_gia'!$A$2:$D$13,4,FALSE),"KHÔNG TÌM THẤY"))</x:f>
        <x:v>KHÔNG TÌM THẤY</x:v>
      </x:c>
      <x:c r="H479" s="14" t="str">
        <x:f>IF(ISNUMBER(G479),G479*F479,"")</x:f>
      </x:c>
      <x:c r="I479" t="str">
        <x:v>Giao thất bại</x:v>
      </x:c>
      <x:c r="J479" s="16"/>
      <x:c r="K479" t="str"/>
    </x:row>
    <x:row r="480">
      <x:c r="A480" t="str">
        <x:v>FM20260700479</x:v>
      </x:c>
      <x:c r="B480" s="16" t="n">
        <x:v>46217</x:v>
      </x:c>
      <x:c r="C480" t="str">
        <x:v>FM-03-04</x:v>
      </x:c>
      <x:c r="D480" t="str">
        <x:v>Liên tỉnh</x:v>
      </x:c>
      <x:c r="E480" t="str">
        <x:v>COD</x:v>
      </x:c>
      <x:c r="F480" t="n">
        <x:v>0.5</x:v>
      </x:c>
      <x:c r="G480" s="14" t="str">
        <x:f>IF(E480="","",IFERROR(VLOOKUP(E480,'02_Bang_gia'!$A$2:$D$13,4,FALSE),"KHÔNG TÌM THẤY"))</x:f>
        <x:v>KHÔNG TÌM THẤY</x:v>
      </x:c>
      <x:c r="H480" s="14" t="str">
        <x:f>IF(ISNUMBER(G480),G480*F480,"")</x:f>
      </x:c>
      <x:c r="I480" t="str">
        <x:v>Đã giao</x:v>
      </x:c>
      <x:c r="J480" s="16" t="n">
        <x:v>46220</x:v>
      </x:c>
      <x:c r="K480" t="str"/>
    </x:row>
    <x:row r="481">
      <x:c r="A481" t="str">
        <x:v>FM20260700480</x:v>
      </x:c>
      <x:c r="B481" s="16" t="n">
        <x:v>46218</x:v>
      </x:c>
      <x:c r="C481" t="str">
        <x:v>FM-03-04</x:v>
      </x:c>
      <x:c r="D481" t="str">
        <x:v>Liên tỉnh</x:v>
      </x:c>
      <x:c r="E481" t="str">
        <x:v>COD</x:v>
      </x:c>
      <x:c r="F481" t="n">
        <x:v>3</x:v>
      </x:c>
      <x:c r="G481" s="14" t="str">
        <x:f>IF(E481="","",IFERROR(VLOOKUP(E481,'02_Bang_gia'!$A$2:$D$13,4,FALSE),"KHÔNG TÌM THẤY"))</x:f>
        <x:v>KHÔNG TÌM THẤY</x:v>
      </x:c>
      <x:c r="H481" s="14" t="str">
        <x:f>IF(ISNUMBER(G481),G481*F481,"")</x:f>
      </x:c>
      <x:c r="I481" t="str">
        <x:v>Đã giao</x:v>
      </x:c>
      <x:c r="J481" s="16" t="n">
        <x:v>46222</x:v>
      </x:c>
      <x:c r="K481" t="str"/>
    </x:row>
    <x:row r="482">
      <x:c r="A482" t="str">
        <x:v>FM20260700481</x:v>
      </x:c>
      <x:c r="B482" s="16" t="n">
        <x:v>46219</x:v>
      </x:c>
      <x:c r="C482" t="str">
        <x:v>FM-01-03</x:v>
      </x:c>
      <x:c r="D482" t="str">
        <x:v>Nội thành</x:v>
      </x:c>
      <x:c r="E482" t="str">
        <x:v>Hỏa tốc</x:v>
      </x:c>
      <x:c r="F482" t="n">
        <x:v>0.5</x:v>
      </x:c>
      <x:c r="G482" s="14" t="str">
        <x:f>IF(E482="","",IFERROR(VLOOKUP(E482,'02_Bang_gia'!$A$2:$D$13,4,FALSE),"KHÔNG TÌM THẤY"))</x:f>
        <x:v>KHÔNG TÌM THẤY</x:v>
      </x:c>
      <x:c r="H482" s="14" t="str">
        <x:f>IF(ISNUMBER(G482),G482*F482,"")</x:f>
      </x:c>
      <x:c r="I482" t="str">
        <x:v>Đã giao</x:v>
      </x:c>
      <x:c r="J482" s="16" t="n">
        <x:v>46222</x:v>
      </x:c>
      <x:c r="K482" t="str"/>
    </x:row>
    <x:row r="483">
      <x:c r="A483" t="str">
        <x:v>FM20260700482</x:v>
      </x:c>
      <x:c r="B483" s="16" t="n">
        <x:v>46220</x:v>
      </x:c>
      <x:c r="C483" t="str">
        <x:v>FM-01-02</x:v>
      </x:c>
      <x:c r="D483" t="str">
        <x:v>Nội thành</x:v>
      </x:c>
      <x:c r="E483" t="str">
        <x:v>Tiêu chuẩn</x:v>
      </x:c>
      <x:c r="F483" t="n">
        <x:v>1.5</x:v>
      </x:c>
      <x:c r="G483" s="14" t="str">
        <x:f>IF(E483="","",IFERROR(VLOOKUP(E483,'02_Bang_gia'!$A$2:$D$13,4,FALSE),"KHÔNG TÌM THẤY"))</x:f>
        <x:v>KHÔNG TÌM THẤY</x:v>
      </x:c>
      <x:c r="H483" s="14" t="str">
        <x:f>IF(ISNUMBER(G483),G483*F483,"")</x:f>
      </x:c>
      <x:c r="I483" t="str">
        <x:v>Đã giao</x:v>
      </x:c>
      <x:c r="J483" s="16" t="n">
        <x:v>46223</x:v>
      </x:c>
      <x:c r="K483" t="str"/>
    </x:row>
    <x:row r="484">
      <x:c r="A484" t="str">
        <x:v>FM20260700483</x:v>
      </x:c>
      <x:c r="B484" s="16" t="n">
        <x:v>46221</x:v>
      </x:c>
      <x:c r="C484" t="str">
        <x:v>FM-02-04</x:v>
      </x:c>
      <x:c r="D484" t="str">
        <x:v>Ngoại thành</x:v>
      </x:c>
      <x:c r="E484" t="str">
        <x:v>COD</x:v>
      </x:c>
      <x:c r="F484" t="n">
        <x:v>1</x:v>
      </x:c>
      <x:c r="G484" s="14" t="str">
        <x:f>IF(E484="","",IFERROR(VLOOKUP(E484,'02_Bang_gia'!$A$2:$D$13,4,FALSE),"KHÔNG TÌM THẤY"))</x:f>
        <x:v>KHÔNG TÌM THẤY</x:v>
      </x:c>
      <x:c r="H484" s="14" t="str">
        <x:f>IF(ISNUMBER(G484),G484*F484,"")</x:f>
      </x:c>
      <x:c r="I484" t="str">
        <x:v>Đã giao</x:v>
      </x:c>
      <x:c r="J484" s="16" t="n">
        <x:v>46225</x:v>
      </x:c>
      <x:c r="K484" t="str"/>
    </x:row>
    <x:row r="485">
      <x:c r="A485" t="str">
        <x:v>FM20260700484</x:v>
      </x:c>
      <x:c r="B485" s="16" t="n">
        <x:v>46222</x:v>
      </x:c>
      <x:c r="C485" t="str">
        <x:v>FM-03-04</x:v>
      </x:c>
      <x:c r="D485" t="str">
        <x:v>Liên tỉnh</x:v>
      </x:c>
      <x:c r="E485" t="str">
        <x:v>COD</x:v>
      </x:c>
      <x:c r="F485" t="n">
        <x:v>0.5</x:v>
      </x:c>
      <x:c r="G485" s="14" t="str">
        <x:f>IF(E485="","",IFERROR(VLOOKUP(E485,'02_Bang_gia'!$A$2:$D$13,4,FALSE),"KHÔNG TÌM THẤY"))</x:f>
        <x:v>KHÔNG TÌM THẤY</x:v>
      </x:c>
      <x:c r="H485" s="14" t="str">
        <x:f>IF(ISNUMBER(G485),G485*F485,"")</x:f>
      </x:c>
      <x:c r="I485" t="str">
        <x:v>Đã giao</x:v>
      </x:c>
      <x:c r="J485" s="16" t="n">
        <x:v>46226</x:v>
      </x:c>
      <x:c r="K485" t="str"/>
    </x:row>
    <x:row r="486">
      <x:c r="A486" t="str">
        <x:v>FM20260700485</x:v>
      </x:c>
      <x:c r="B486" s="16" t="n">
        <x:v>46223</x:v>
      </x:c>
      <x:c r="C486" t="str">
        <x:v>FM-03-04</x:v>
      </x:c>
      <x:c r="D486" t="str">
        <x:v>Liên tỉnh</x:v>
      </x:c>
      <x:c r="E486" t="str">
        <x:v>COD</x:v>
      </x:c>
      <x:c r="F486" t="n">
        <x:v>1.5</x:v>
      </x:c>
      <x:c r="G486" s="14" t="str">
        <x:f>IF(E486="","",IFERROR(VLOOKUP(E486,'02_Bang_gia'!$A$2:$D$13,4,FALSE),"KHÔNG TÌM THẤY"))</x:f>
        <x:v>KHÔNG TÌM THẤY</x:v>
      </x:c>
      <x:c r="H486" s="14" t="str">
        <x:f>IF(ISNUMBER(G486),G486*F486,"")</x:f>
      </x:c>
      <x:c r="I486" t="str">
        <x:v>Đang giao</x:v>
      </x:c>
      <x:c r="J486" s="16"/>
      <x:c r="K486" t="str"/>
    </x:row>
    <x:row r="487">
      <x:c r="A487" t="str">
        <x:v>FM20260700486</x:v>
      </x:c>
      <x:c r="B487" s="16" t="n">
        <x:v>46224</x:v>
      </x:c>
      <x:c r="C487" t="str">
        <x:v>FM-03-02</x:v>
      </x:c>
      <x:c r="D487" t="str">
        <x:v>Liên tỉnh</x:v>
      </x:c>
      <x:c r="E487" t="str">
        <x:v>Tiêu chuẩn</x:v>
      </x:c>
      <x:c r="F487" t="n">
        <x:v>1.5</x:v>
      </x:c>
      <x:c r="G487" s="14" t="str">
        <x:f>IF(E487="","",IFERROR(VLOOKUP(E487,'02_Bang_gia'!$A$2:$D$13,4,FALSE),"KHÔNG TÌM THẤY"))</x:f>
        <x:v>KHÔNG TÌM THẤY</x:v>
      </x:c>
      <x:c r="H487" s="14" t="str">
        <x:f>IF(ISNUMBER(G487),G487*F487,"")</x:f>
      </x:c>
      <x:c r="I487" t="str">
        <x:v>Giao thất bại</x:v>
      </x:c>
      <x:c r="J487" s="16"/>
      <x:c r="K487" t="str"/>
    </x:row>
    <x:row r="488">
      <x:c r="A488" t="str">
        <x:v>FM20260700487</x:v>
      </x:c>
      <x:c r="B488" s="16" t="n">
        <x:v>46225</x:v>
      </x:c>
      <x:c r="C488" t="str">
        <x:v>FM-03-03</x:v>
      </x:c>
      <x:c r="D488" t="str">
        <x:v>Liên tỉnh</x:v>
      </x:c>
      <x:c r="E488" t="str">
        <x:v>Hỏa tốc</x:v>
      </x:c>
      <x:c r="F488" t="n">
        <x:v>0.5</x:v>
      </x:c>
      <x:c r="G488" s="14" t="str">
        <x:f>IF(E488="","",IFERROR(VLOOKUP(E488,'02_Bang_gia'!$A$2:$D$13,4,FALSE),"KHÔNG TÌM THẤY"))</x:f>
        <x:v>KHÔNG TÌM THẤY</x:v>
      </x:c>
      <x:c r="H488" s="14" t="str">
        <x:f>IF(ISNUMBER(G488),G488*F488,"")</x:f>
      </x:c>
      <x:c r="I488" t="str">
        <x:v>Giao thất bại</x:v>
      </x:c>
      <x:c r="J488" s="16"/>
      <x:c r="K488" t="str"/>
    </x:row>
    <x:row r="489">
      <x:c r="A489" t="str">
        <x:v>FM20260700488</x:v>
      </x:c>
      <x:c r="B489" s="16" t="n">
        <x:v>46226</x:v>
      </x:c>
      <x:c r="C489" t="str">
        <x:v>FM-01-02</x:v>
      </x:c>
      <x:c r="D489" t="str">
        <x:v>Nội thành</x:v>
      </x:c>
      <x:c r="E489" t="str">
        <x:v>Tiêu chuẩn</x:v>
      </x:c>
      <x:c r="F489" t="n">
        <x:v>1.5</x:v>
      </x:c>
      <x:c r="G489" s="14" t="str">
        <x:f>IF(E489="","",IFERROR(VLOOKUP(E489,'02_Bang_gia'!$A$2:$D$13,4,FALSE),"KHÔNG TÌM THẤY"))</x:f>
        <x:v>KHÔNG TÌM THẤY</x:v>
      </x:c>
      <x:c r="H489" s="14" t="str">
        <x:f>IF(ISNUMBER(G489),G489*F489,"")</x:f>
      </x:c>
      <x:c r="I489" t="str">
        <x:v>Đã giao</x:v>
      </x:c>
      <x:c r="J489" s="16" t="n">
        <x:v>46230</x:v>
      </x:c>
      <x:c r="K489" t="str"/>
    </x:row>
    <x:row r="490">
      <x:c r="A490" t="str">
        <x:v>FM20260700489</x:v>
      </x:c>
      <x:c r="B490" s="16" t="n">
        <x:v>46227</x:v>
      </x:c>
      <x:c r="C490" t="str">
        <x:v>FM-03-01</x:v>
      </x:c>
      <x:c r="D490" t="str">
        <x:v>Liên tỉnh</x:v>
      </x:c>
      <x:c r="E490" t="str">
        <x:v>Tiết kiệm</x:v>
      </x:c>
      <x:c r="F490" t="n">
        <x:v>5</x:v>
      </x:c>
      <x:c r="G490" s="14" t="str">
        <x:f>IF(E490="","",IFERROR(VLOOKUP(E490,'02_Bang_gia'!$A$2:$D$13,4,FALSE),"KHÔNG TÌM THẤY"))</x:f>
        <x:v>KHÔNG TÌM THẤY</x:v>
      </x:c>
      <x:c r="H490" s="14" t="str">
        <x:f>IF(ISNUMBER(G490),G490*F490,"")</x:f>
      </x:c>
      <x:c r="I490" t="str">
        <x:v>Đang giao</x:v>
      </x:c>
      <x:c r="J490" s="16"/>
      <x:c r="K490" t="str"/>
    </x:row>
    <x:row r="491">
      <x:c r="A491" t="str">
        <x:v>FM20260700490</x:v>
      </x:c>
      <x:c r="B491" s="16" t="n">
        <x:v>46228</x:v>
      </x:c>
      <x:c r="C491" t="str">
        <x:v>FM-01-03</x:v>
      </x:c>
      <x:c r="D491" t="str">
        <x:v>Nội thành</x:v>
      </x:c>
      <x:c r="E491" t="str">
        <x:v>Hỏa tốc</x:v>
      </x:c>
      <x:c r="F491" t="n">
        <x:v>1</x:v>
      </x:c>
      <x:c r="G491" s="14" t="str">
        <x:f>IF(E491="","",IFERROR(VLOOKUP(E491,'02_Bang_gia'!$A$2:$D$13,4,FALSE),"KHÔNG TÌM THẤY"))</x:f>
        <x:v>KHÔNG TÌM THẤY</x:v>
      </x:c>
      <x:c r="H491" s="14" t="str">
        <x:f>IF(ISNUMBER(G491),G491*F491,"")</x:f>
      </x:c>
      <x:c r="I491" t="str">
        <x:v>Giao thất bại</x:v>
      </x:c>
      <x:c r="J491" s="16"/>
      <x:c r="K491" t="str"/>
    </x:row>
    <x:row r="492">
      <x:c r="A492" t="str">
        <x:v>FM20260700491</x:v>
      </x:c>
      <x:c r="B492" s="16" t="n">
        <x:v>46229</x:v>
      </x:c>
      <x:c r="C492" t="str">
        <x:v>FM-03-02</x:v>
      </x:c>
      <x:c r="D492" t="str">
        <x:v>Liên tỉnh</x:v>
      </x:c>
      <x:c r="E492" t="str">
        <x:v>Tiêu chuẩn</x:v>
      </x:c>
      <x:c r="F492" t="n">
        <x:v>0.5</x:v>
      </x:c>
      <x:c r="G492" s="14" t="str">
        <x:f>IF(E492="","",IFERROR(VLOOKUP(E492,'02_Bang_gia'!$A$2:$D$13,4,FALSE),"KHÔNG TÌM THẤY"))</x:f>
        <x:v>KHÔNG TÌM THẤY</x:v>
      </x:c>
      <x:c r="H492" s="14" t="str">
        <x:f>IF(ISNUMBER(G492),G492*F492,"")</x:f>
      </x:c>
      <x:c r="I492" t="str">
        <x:v>Đã giao</x:v>
      </x:c>
      <x:c r="J492" s="16" t="n">
        <x:v>46233</x:v>
      </x:c>
      <x:c r="K492" t="str"/>
    </x:row>
    <x:row r="493">
      <x:c r="A493" t="str">
        <x:v>FM20260700492</x:v>
      </x:c>
      <x:c r="B493" s="16" t="n">
        <x:v>46230</x:v>
      </x:c>
      <x:c r="C493" t="str">
        <x:v>FM-01-03</x:v>
      </x:c>
      <x:c r="D493" t="str">
        <x:v>Nội thành</x:v>
      </x:c>
      <x:c r="E493" t="str">
        <x:v>Hỏa tốc</x:v>
      </x:c>
      <x:c r="F493" t="n">
        <x:v>1.5</x:v>
      </x:c>
      <x:c r="G493" s="14" t="str">
        <x:f>IF(E493="","",IFERROR(VLOOKUP(E493,'02_Bang_gia'!$A$2:$D$13,4,FALSE),"KHÔNG TÌM THẤY"))</x:f>
        <x:v>KHÔNG TÌM THẤY</x:v>
      </x:c>
      <x:c r="H493" s="14" t="str">
        <x:f>IF(ISNUMBER(G493),G493*F493,"")</x:f>
      </x:c>
      <x:c r="I493" t="str">
        <x:v>Đã giao</x:v>
      </x:c>
      <x:c r="J493" s="16" t="n">
        <x:v>46233</x:v>
      </x:c>
      <x:c r="K493" t="str"/>
    </x:row>
    <x:row r="494">
      <x:c r="A494" t="str">
        <x:v>FM20260700493</x:v>
      </x:c>
      <x:c r="B494" s="16" t="n">
        <x:v>46231</x:v>
      </x:c>
      <x:c r="C494" t="str">
        <x:v>FM-02-03</x:v>
      </x:c>
      <x:c r="D494" t="str">
        <x:v>Ngoại thành</x:v>
      </x:c>
      <x:c r="E494" t="str">
        <x:v>Hỏa tốc</x:v>
      </x:c>
      <x:c r="F494" t="n">
        <x:v>0.5</x:v>
      </x:c>
      <x:c r="G494" s="14" t="str">
        <x:f>IF(E494="","",IFERROR(VLOOKUP(E494,'02_Bang_gia'!$A$2:$D$13,4,FALSE),"KHÔNG TÌM THẤY"))</x:f>
        <x:v>KHÔNG TÌM THẤY</x:v>
      </x:c>
      <x:c r="H494" s="14" t="str">
        <x:f>IF(ISNUMBER(G494),G494*F494,"")</x:f>
      </x:c>
      <x:c r="I494" t="str">
        <x:v>Giao thất bại</x:v>
      </x:c>
      <x:c r="J494" s="16"/>
      <x:c r="K494" t="str"/>
    </x:row>
    <x:row r="495">
      <x:c r="A495" t="str">
        <x:v>FM20260700494</x:v>
      </x:c>
      <x:c r="B495" s="16" t="n">
        <x:v>46232</x:v>
      </x:c>
      <x:c r="C495" t="str">
        <x:v>FM-03-02</x:v>
      </x:c>
      <x:c r="D495" t="str">
        <x:v>Liên tỉnh</x:v>
      </x:c>
      <x:c r="E495" t="str">
        <x:v>Tiêu chuẩn</x:v>
      </x:c>
      <x:c r="F495" t="n">
        <x:v>1.5</x:v>
      </x:c>
      <x:c r="G495" s="14" t="str">
        <x:f>IF(E495="","",IFERROR(VLOOKUP(E495,'02_Bang_gia'!$A$2:$D$13,4,FALSE),"KHÔNG TÌM THẤY"))</x:f>
        <x:v>KHÔNG TÌM THẤY</x:v>
      </x:c>
      <x:c r="H495" s="14" t="str">
        <x:f>IF(ISNUMBER(G495),G495*F495,"")</x:f>
      </x:c>
      <x:c r="I495" t="str">
        <x:v>Đã giao</x:v>
      </x:c>
      <x:c r="J495" s="16" t="n">
        <x:v>46236</x:v>
      </x:c>
      <x:c r="K495" t="str"/>
    </x:row>
    <x:row r="496">
      <x:c r="A496" t="str">
        <x:v>FM20260700495</x:v>
      </x:c>
      <x:c r="B496" s="16" t="n">
        <x:v>46233</x:v>
      </x:c>
      <x:c r="C496" t="str">
        <x:v>FM-02-02</x:v>
      </x:c>
      <x:c r="D496" t="str">
        <x:v>Ngoại thành</x:v>
      </x:c>
      <x:c r="E496" t="str">
        <x:v>Tiêu chuẩn</x:v>
      </x:c>
      <x:c r="F496" t="n">
        <x:v>3</x:v>
      </x:c>
      <x:c r="G496" s="14" t="str">
        <x:f>IF(E496="","",IFERROR(VLOOKUP(E496,'02_Bang_gia'!$A$2:$D$13,4,FALSE),"KHÔNG TÌM THẤY"))</x:f>
        <x:v>KHÔNG TÌM THẤY</x:v>
      </x:c>
      <x:c r="H496" s="14" t="str">
        <x:f>IF(ISNUMBER(G496),G496*F496,"")</x:f>
      </x:c>
      <x:c r="I496" t="str">
        <x:v>Đã giao</x:v>
      </x:c>
      <x:c r="J496" s="16" t="n">
        <x:v>46234</x:v>
      </x:c>
      <x:c r="K496" t="str"/>
    </x:row>
    <x:row r="497">
      <x:c r="A497" t="str">
        <x:v>FM20260700496</x:v>
      </x:c>
      <x:c r="B497" s="16" t="n">
        <x:v>46234</x:v>
      </x:c>
      <x:c r="C497" t="str">
        <x:v>FM-01-03</x:v>
      </x:c>
      <x:c r="D497" t="str">
        <x:v>Nội thành</x:v>
      </x:c>
      <x:c r="E497" t="str">
        <x:v>Hỏa tốc</x:v>
      </x:c>
      <x:c r="F497" t="n">
        <x:v>1.5</x:v>
      </x:c>
      <x:c r="G497" s="14" t="str">
        <x:f>IF(E497="","",IFERROR(VLOOKUP(E497,'02_Bang_gia'!$A$2:$D$13,4,FALSE),"KHÔNG TÌM THẤY"))</x:f>
        <x:v>KHÔNG TÌM THẤY</x:v>
      </x:c>
      <x:c r="H497" s="14" t="str">
        <x:f>IF(ISNUMBER(G497),G497*F497,"")</x:f>
      </x:c>
      <x:c r="I497" t="str">
        <x:v>Đã giao</x:v>
      </x:c>
      <x:c r="J497" s="16" t="n">
        <x:v>46238</x:v>
      </x:c>
      <x:c r="K497" t="str"/>
    </x:row>
    <x:row r="498">
      <x:c r="A498" t="str">
        <x:v>FM20260700497</x:v>
      </x:c>
      <x:c r="B498" s="16" t="n">
        <x:v>46204</x:v>
      </x:c>
      <x:c r="C498" t="str">
        <x:v>FM-03-03</x:v>
      </x:c>
      <x:c r="D498" t="str">
        <x:v>Liên tỉnh</x:v>
      </x:c>
      <x:c r="E498" t="str">
        <x:v>Hỏa tốc</x:v>
      </x:c>
      <x:c r="F498" t="n">
        <x:v>0.5</x:v>
      </x:c>
      <x:c r="G498" s="14" t="str">
        <x:f>IF(E498="","",IFERROR(VLOOKUP(E498,'02_Bang_gia'!$A$2:$D$13,4,FALSE),"KHÔNG TÌM THẤY"))</x:f>
        <x:v>KHÔNG TÌM THẤY</x:v>
      </x:c>
      <x:c r="H498" s="14" t="str">
        <x:f>IF(ISNUMBER(G498),G498*F498,"")</x:f>
      </x:c>
      <x:c r="I498" t="str">
        <x:v>Đã giao</x:v>
      </x:c>
      <x:c r="J498" s="16" t="n">
        <x:v>46205</x:v>
      </x:c>
      <x:c r="K498" t="str"/>
    </x:row>
    <x:row r="499">
      <x:c r="A499" t="str">
        <x:v>FM20260700498</x:v>
      </x:c>
      <x:c r="B499" s="16" t="n">
        <x:v>46205</x:v>
      </x:c>
      <x:c r="C499" t="str">
        <x:v>FM-03-04</x:v>
      </x:c>
      <x:c r="D499" t="str">
        <x:v>Liên tỉnh</x:v>
      </x:c>
      <x:c r="E499" t="str">
        <x:v>COD</x:v>
      </x:c>
      <x:c r="F499" t="n">
        <x:v>3</x:v>
      </x:c>
      <x:c r="G499" s="14" t="str">
        <x:f>IF(E499="","",IFERROR(VLOOKUP(E499,'02_Bang_gia'!$A$2:$D$13,4,FALSE),"KHÔNG TÌM THẤY"))</x:f>
        <x:v>KHÔNG TÌM THẤY</x:v>
      </x:c>
      <x:c r="H499" s="14" t="str">
        <x:f>IF(ISNUMBER(G499),G499*F499,"")</x:f>
      </x:c>
      <x:c r="I499" t="str">
        <x:v>Đã giao</x:v>
      </x:c>
      <x:c r="J499" s="16" t="n">
        <x:v>46209</x:v>
      </x:c>
      <x:c r="K499" t="str"/>
    </x:row>
    <x:row r="500">
      <x:c r="A500" t="str">
        <x:v>FM20260700499</x:v>
      </x:c>
      <x:c r="B500" s="16" t="n">
        <x:v>46206</x:v>
      </x:c>
      <x:c r="C500" t="str">
        <x:v>FM-01-02</x:v>
      </x:c>
      <x:c r="D500" t="str">
        <x:v>Nội thành</x:v>
      </x:c>
      <x:c r="E500" t="str">
        <x:v>Tiêu chuẩn</x:v>
      </x:c>
      <x:c r="F500" t="n">
        <x:v>5</x:v>
      </x:c>
      <x:c r="G500" s="14" t="str">
        <x:f>IF(E500="","",IFERROR(VLOOKUP(E500,'02_Bang_gia'!$A$2:$D$13,4,FALSE),"KHÔNG TÌM THẤY"))</x:f>
        <x:v>KHÔNG TÌM THẤY</x:v>
      </x:c>
      <x:c r="H500" s="14" t="str">
        <x:f>IF(ISNUMBER(G500),G500*F500,"")</x:f>
      </x:c>
      <x:c r="I500" t="str">
        <x:v>Đã giao</x:v>
      </x:c>
      <x:c r="J500" s="16" t="n">
        <x:v>46209</x:v>
      </x:c>
      <x:c r="K500" t="str"/>
    </x:row>
    <x:row r="501">
      <x:c r="A501" t="str">
        <x:v>FM20260700500</x:v>
      </x:c>
      <x:c r="B501" s="16" t="n">
        <x:v>46207</x:v>
      </x:c>
      <x:c r="C501" t="str">
        <x:v>FM-02-04</x:v>
      </x:c>
      <x:c r="D501" t="str">
        <x:v>Ngoại thành</x:v>
      </x:c>
      <x:c r="E501" t="str">
        <x:v>COD</x:v>
      </x:c>
      <x:c r="F501" t="n">
        <x:v>5</x:v>
      </x:c>
      <x:c r="G501" s="14" t="str">
        <x:f>IF(E501="","",IFERROR(VLOOKUP(E501,'02_Bang_gia'!$A$2:$D$13,4,FALSE),"KHÔNG TÌM THẤY"))</x:f>
        <x:v>KHÔNG TÌM THẤY</x:v>
      </x:c>
      <x:c r="H501" s="14" t="str">
        <x:f>IF(ISNUMBER(G501),G501*F501,"")</x:f>
      </x:c>
      <x:c r="I501" t="str">
        <x:v>Đã giao</x:v>
      </x:c>
      <x:c r="J501" s="16" t="n">
        <x:v>46210</x:v>
      </x:c>
      <x:c r="K501" t="str"/>
    </x:row>
  </x:sheetData>
  <x:conditionalFormatting sqref="I2:I501">
    <x:cfRule type="expression" dxfId="0" priority="1">
      <x:formula>I2="Giao thất bại"</x:formula>
    </x:cfRule>
  </x:conditionalFormatting>
  <x:conditionalFormatting sqref="G2:G501">
    <x:cfRule type="expression" dxfId="1" priority="2">
      <x:formula>G2="KHÔNG TÌM THẤY"</x:formula>
    </x:cfRule>
  </x:conditionalFormatting>
  <x:dataValidations count="1">
    <x:dataValidation type="list" sqref="I2:I501">
      <x:formula1>"Đã giao,Đang giao,Giao thất bại"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9" hidden="0" customWidth="1"/>
  </x:cols>
  <x:sheetData>
    <x:row r="1" ht="29" customHeight="1">
      <x:c r="A1" s="4" t="str">
        <x:v>FASTMOVE | KPI GIAO HÀNG</x:v>
      </x:c>
      <x:c r="B1" s="4" t="str">
        <x:v>Giả lập dữ liệu tháng 07/2026</x:v>
      </x:c>
    </x:row>
    <x:row r="3" ht="29" customHeight="1">
      <x:c r="A3" s="4" t="str">
        <x:v>Chỉ số</x:v>
      </x:c>
      <x:c r="B3" s="4" t="str">
        <x:v>Kết quả</x:v>
      </x:c>
    </x:row>
    <x:row r="4">
      <x:c r="A4" t="str">
        <x:v>Tổng số vận đơn</x:v>
      </x:c>
      <x:c r="B4" t="n">
        <x:f>COUNTA('03_Van_don_500'!$A$2:$A$501)</x:f>
        <x:v>500</x:v>
      </x:c>
    </x:row>
    <x:row r="5">
      <x:c r="A5" t="str">
        <x:v>Đã giao</x:v>
      </x:c>
      <x:c r="B5" t="n">
        <x:f>COUNTIF('03_Van_don_500'!$I$2:$I$501,"Đã giao")</x:f>
        <x:v>379</x:v>
      </x:c>
    </x:row>
    <x:row r="6">
      <x:c r="A6" t="str">
        <x:v>Đang giao</x:v>
      </x:c>
      <x:c r="B6" t="n">
        <x:f>COUNTIF('03_Van_don_500'!$I$2:$I$501,"Đang giao")</x:f>
        <x:v>73</x:v>
      </x:c>
    </x:row>
    <x:row r="7">
      <x:c r="A7" t="str">
        <x:v>Giao thất bại</x:v>
      </x:c>
      <x:c r="B7" t="n">
        <x:f>COUNTIF('03_Van_don_500'!$I$2:$I$501,"Giao thất bại")</x:f>
        <x:v>48</x:v>
      </x:c>
    </x:row>
    <x:row r="8">
      <x:c r="A8" t="str">
        <x:v>Tỷ lệ giao thành công</x:v>
      </x:c>
      <x:c r="B8" s="18" t="n">
        <x:f>IFERROR(B5/B4,0)</x:f>
        <x:v>0.758</x:v>
      </x:c>
    </x:row>
    <x:row r="9">
      <x:c r="A9" t="str">
        <x:v>Tổng doanh thu vận đơn</x:v>
      </x:c>
      <x:c r="B9" s="14" t="n">
        <x:f>SUM('03_Van_don_500'!$H$2:$H$501)</x:f>
        <x:v>0</x:v>
      </x:c>
    </x:row>
    <x:row r="10">
      <x:c r="A10" t="str">
        <x:v>Số mã giá lỗi</x:v>
      </x:c>
      <x:c r="B10" t="n">
        <x:f>COUNTIF('03_Van_don_500'!$G$2:$G$501,"KHÔNG TÌM THẤY")</x:f>
        <x:v>500</x:v>
      </x:c>
    </x:row>
    <x:row r="11">
      <x:c r="A11" t="str">
        <x:v>Thời gian tra cứu thủ công (giờ/ngày, theo đề bài)</x:v>
      </x:c>
      <x:c r="B11" t="n">
        <x:v>16</x:v>
      </x:c>
    </x:row>
    <x:row r="13" ht="32" customHeight="1">
      <x:c r="A13" s="20" t="str">
        <x:v>NHẬN ĐỊNH VÀ HÀNH ĐỘNG</x:v>
      </x:c>
      <x:c r="B13" s="20" t="str">
        <x:v>Mục tiêu triển khai</x:v>
      </x:c>
    </x:row>
    <x:row r="14" ht="32" customHeight="1">
      <x:c r="A14" s="8" t="str">
        <x:v>Ưu tiên giảm lỗi giao thất bại</x:v>
      </x:c>
      <x:c r="B14" s="8" t="str">
        <x:v>Theo dõi số đơn thất bại để cải thiện quy trình.</x:v>
      </x:c>
    </x:row>
    <x:row r="15" ht="32" customHeight="1">
      <x:c r="A15" s="8" t="str">
        <x:v>Tra cứu giá cước tự động</x:v>
      </x:c>
      <x:c r="B15" s="8" t="str">
        <x:v>Dùng bảng giá chuẩn hóa và VLOOKUP chính xác thay nhập tay.</x:v>
      </x:c>
    </x:row>
    <x:row r="16" ht="32" customHeight="1">
      <x:c r="A16" s="8" t="str">
        <x:v>16 giờ/ngày</x:v>
      </x:c>
      <x:c r="B16" s="8" t="str">
        <x:v>Là số liệu bối cảnh đề bài, không phải mức tiết kiệm đã đo.</x:v>
      </x:c>
    </x:row>
    <x:row r="17" ht="32" customHeight="1">
      <x:c r="A17" s="8" t="str">
        <x:v>Thông điệp slide kết luận</x:v>
      </x:c>
      <x:c r="B17" s="8" t="str">
        <x:v>'Chuẩn hóa bảng giá giúp giảm thao tác tra cứu thủ công'</x:v>
      </x:c>
    </x:row>
  </x:sheetData>
  <x:pageMargins left="0.7" right="0.7" top="0.75" bottom="0.75" header="0.3" footer="0.3"/>
  <x:drawing xmlns:r="http://schemas.openxmlformats.org/officeDocument/2006/relationships" r:id="R4079b4b3d4e647ee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30" hidden="0" customWidth="1"/>
    <x:col min="4" max="4" width="27" hidden="0" customWidth="1"/>
    <x:col min="5" max="5" width="70" hidden="0" customWidth="1"/>
  </x:cols>
  <x:sheetData>
    <x:row r="1" ht="29" customHeight="1">
      <x:c r="A1" s="4" t="str">
        <x:v>Trường hợp</x:v>
      </x:c>
      <x:c r="B1" s="4" t="str">
        <x:v>Mã giá đầu vào</x:v>
      </x:c>
      <x:c r="C1" s="4" t="str">
        <x:v>VLOOKUP + IFERROR</x:v>
      </x:c>
      <x:c r="D1" s="4" t="str">
        <x:v>Kỳ vọng</x:v>
      </x:c>
      <x:c r="E1" s="4" t="str">
        <x:v>Diễn giải</x:v>
      </x:c>
    </x:row>
    <x:row r="2">
      <x:c r="A2" t="str">
        <x:v>Mã đúng</x:v>
      </x:c>
      <x:c r="B2" t="str">
        <x:v>FM-01-01</x:v>
      </x:c>
      <x:c r="C2" t="n">
        <x:f>IF(B2="","",IFERROR(VLOOKUP(B2,'02_Bang_gia'!$A$2:$D$13,4,FALSE),"KHÔNG TÌM THẤY"))</x:f>
        <x:v>12000</x:v>
      </x:c>
      <x:c r="D2" t="str">
        <x:v>Trả về đơn giá</x:v>
      </x:c>
      <x:c r="E2" t="str">
        <x:v>Khớp chính xác.</x:v>
      </x:c>
    </x:row>
    <x:row r="3">
      <x:c r="A3" t="str">
        <x:v>Ký tự lạ</x:v>
      </x:c>
      <x:c r="B3" t="str">
        <x:v>FM-01-01@</x:v>
      </x:c>
      <x:c r="C3" t="str">
        <x:f>IF(B3="","",IFERROR(VLOOKUP(B3,'02_Bang_gia'!$A$2:$D$13,4,FALSE),"KHÔNG TÌM THẤY"))</x:f>
        <x:v>KHÔNG TÌM THẤY</x:v>
      </x:c>
      <x:c r="D3" t="str">
        <x:v>Không hiện #N/A</x:v>
      </x:c>
      <x:c r="E3" t="str">
        <x:v>Chuỗi mã chứa ký tự không thuộc bảng giá.</x:v>
      </x:c>
    </x:row>
    <x:row r="4">
      <x:c r="A4" t="str">
        <x:v>Mã không tồn tại</x:v>
      </x:c>
      <x:c r="B4" t="str">
        <x:v>FM-99-99</x:v>
      </x:c>
      <x:c r="C4" t="str">
        <x:f>IF(B4="","",IFERROR(VLOOKUP(B4,'02_Bang_gia'!$A$2:$D$13,4,FALSE),"KHÔNG TÌM THẤY"))</x:f>
        <x:v>KHÔNG TÌM THẤY</x:v>
      </x:c>
      <x:c r="D4" t="str">
        <x:v>Không hiện #N/A</x:v>
      </x:c>
      <x:c r="E4" t="str">
        <x:v>Không tìm thấy trong bảng tham chiếu.</x:v>
      </x:c>
    </x:row>
    <x:row r="5">
      <x:c r="A5" t="str">
        <x:v>Mã rỗng</x:v>
      </x:c>
      <x:c r="B5" t="str"/>
      <x:c r="C5" t="str">
        <x:f>IF(B5="","",IFERROR(VLOOKUP(B5,'02_Bang_gia'!$A$2:$D$13,4,FALSE),"KHÔNG TÌM THẤY"))</x:f>
      </x:c>
      <x:c r="D5" t="str">
        <x:v>Để trống</x:v>
      </x:c>
      <x:c r="E5" t="str">
        <x:v>Không tính giá khi chưa nhập mã.</x:v>
      </x:c>
    </x:row>
    <x:row r="6">
      <x:c r="A6" t="str">
        <x:v>Khác chữ hoa/thường</x:v>
      </x:c>
      <x:c r="B6" t="str">
        <x:v>fm-01-01</x:v>
      </x:c>
      <x:c r="C6" t="n">
        <x:f>IF(B6="","",IFERROR(VLOOKUP(B6,'02_Bang_gia'!$A$2:$D$13,4,FALSE),"KHÔNG TÌM THẤY"))</x:f>
        <x:v>12000</x:v>
      </x:c>
      <x:c r="D6" t="str">
        <x:v>Trả về đơn giá</x:v>
      </x:c>
      <x:c r="E6" t="str">
        <x:v>VLOOKUP không phân biệt hoa/thường.</x:v>
      </x:c>
    </x:row>
    <x:row r="7">
      <x:c r="A7" t="str">
        <x:v>Có khoảng trắng dư</x:v>
      </x:c>
      <x:c r="B7" t="str">
        <x:v> FM-01-01 </x:v>
      </x:c>
      <x:c r="C7" t="str">
        <x:f>IF(B7="","",IFERROR(VLOOKUP(B7,'02_Bang_gia'!$A$2:$D$13,4,FALSE),"KHÔNG TÌM THẤY"))</x:f>
        <x:v>KHÔNG TÌM THẤY</x:v>
      </x:c>
      <x:c r="D7" t="str">
        <x:v>Không hiện #N/A</x:v>
      </x:c>
      <x:c r="E7" t="str">
        <x:v>Cần chuẩn hóa TRIM nếu muốn tự sửa khoảng trắng.</x:v>
      </x:c>
    </x:row>
    <x:row r="9" ht="35" customHeight="1">
      <x:c r="A9" s="20" t="str">
        <x:v>CÔNG THỨC CHUẨN</x:v>
      </x:c>
      <x:c r="B9" s="20" t="str"/>
    </x:row>
    <x:row r="10" ht="35" customHeight="1">
      <x:c r="A10" s="8" t="str">
        <x:v>Tra cứu</x:v>
      </x:c>
      <x:c r="B10" s="8" t="str">
        <x:v>=IF(E2="","",IFERROR(VLOOKUP(E2,'02_Bang_gia'!$A$2:$D$13,4,FALSE),"KHÔNG TÌM THẤY"))</x:v>
      </x:c>
    </x:row>
    <x:row r="11" ht="35" customHeight="1">
      <x:c r="A11" s="8" t="str">
        <x:v>Tính cước</x:v>
      </x:c>
      <x:c r="B11" s="8" t="str">
        <x:v>=IF(ISNUMBER(G2),G2*F2,"")</x:v>
      </x:c>
    </x:row>
    <x:row r="12" ht="35" customHeight="1">
      <x:c r="A12" s="8" t="str">
        <x:v>Lưu ý</x:v>
      </x:c>
      <x:c r="B12" s="8" t="str">
        <x:v>Sửa mã giá tại sheet 03; giữ nguyên vùng giá chuẩn tại sheet 02. Dữ liệu 500 đơn là dữ liệu giả lập.</x:v>
      </x:c>
    </x:row>
  </x:sheetData>
  <x:pageMargins left="0.7" right="0.7" top="0.75" bottom="0.75" header="0.3" footer="0.3"/>
</x:worksheet>
</file>